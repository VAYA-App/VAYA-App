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คู่มือ" sheetId="1" state="visible" r:id="rId1"/>
    <sheet xmlns:r="http://schemas.openxmlformats.org/officeDocument/2006/relationships" name="places" sheetId="2" state="visible" r:id="rId2"/>
    <sheet xmlns:r="http://schemas.openxmlformats.org/officeDocument/2006/relationships" name="สรุป" sheetId="3" state="visible" r:id="rId3"/>
    <sheet xmlns:r="http://schemas.openxmlformats.org/officeDocument/2006/relationships" name="ต้นฉบับ_ร้าน" sheetId="4" state="visible" r:id="rId4"/>
    <sheet xmlns:r="http://schemas.openxmlformats.org/officeDocument/2006/relationships" name="ต้นฉบับ_แหล่งท่องเที่ยว" sheetId="5" state="visible" r:id="rId5"/>
    <sheet xmlns:r="http://schemas.openxmlformats.org/officeDocument/2006/relationships" name="ต้นฉบับ_หมายเหตุ" sheetId="6" state="visible" r:id="rId6"/>
  </sheets>
  <definedNames>
    <definedName name="_xlnm._FilterDatabase" localSheetId="1" hidden="1">'places'!$A$2:$AK$192</definedName>
    <definedName name="_xlnm._FilterDatabase" localSheetId="3" hidden="1">'ต้นฉบับ_ร้าน'!$A$1:$L$172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"/>
    <numFmt numFmtId="165" formatCode="0.0"/>
  </numFmts>
  <fonts count="14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color rgb="00374151"/>
      <sz val="9"/>
    </font>
    <font>
      <name val="Tahoma"/>
      <color rgb="001F2937"/>
      <sz val="10"/>
    </font>
    <font>
      <name val="Consolas"/>
      <color rgb="00334155"/>
      <sz val="9"/>
    </font>
    <font>
      <name val="Tahoma"/>
      <b val="1"/>
      <color rgb="001F2937"/>
      <sz val="10"/>
    </font>
    <font>
      <name val="Tahoma"/>
      <color rgb="006B7280"/>
      <sz val="10"/>
    </font>
    <font>
      <name val="Tahoma"/>
      <color rgb="001D4ED8"/>
      <sz val="10"/>
      <u val="single"/>
    </font>
    <font>
      <name val="Tahoma"/>
      <b val="1"/>
      <color rgb="001E3A5F"/>
      <sz val="16"/>
    </font>
    <font>
      <name val="Tahoma"/>
      <b val="1"/>
      <color rgb="001E3A5F"/>
      <sz val="12"/>
    </font>
    <font>
      <name val="Tahoma"/>
      <color rgb="00374151"/>
      <sz val="10"/>
    </font>
    <font>
      <name val="Tahoma"/>
      <b val="1"/>
      <color rgb="0092400E"/>
      <sz val="10"/>
    </font>
    <font>
      <name val="Tahoma"/>
      <color rgb="0092400E"/>
      <sz val="10"/>
    </font>
    <font>
      <name val="Tahoma"/>
      <b val="1"/>
      <color rgb="001E3A5F"/>
      <sz val="10"/>
    </font>
  </fonts>
  <fills count="1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CE5F0"/>
      </patternFill>
    </fill>
    <fill>
      <patternFill patternType="solid">
        <fgColor rgb="002B6CB0"/>
      </patternFill>
    </fill>
    <fill>
      <patternFill patternType="solid">
        <fgColor rgb="00DCEAF7"/>
      </patternFill>
    </fill>
    <fill>
      <patternFill patternType="solid">
        <fgColor rgb="005B3E96"/>
      </patternFill>
    </fill>
    <fill>
      <patternFill patternType="solid">
        <fgColor rgb="00E8E1F5"/>
      </patternFill>
    </fill>
    <fill>
      <patternFill patternType="solid">
        <fgColor rgb="000F766E"/>
      </patternFill>
    </fill>
    <fill>
      <patternFill patternType="solid">
        <fgColor rgb="00D4EFEA"/>
      </patternFill>
    </fill>
    <fill>
      <patternFill patternType="solid">
        <fgColor rgb="003F7A35"/>
      </patternFill>
    </fill>
    <fill>
      <patternFill patternType="solid">
        <fgColor rgb="00E0EFDB"/>
      </patternFill>
    </fill>
    <fill>
      <patternFill patternType="solid">
        <fgColor rgb="00B45309"/>
      </patternFill>
    </fill>
    <fill>
      <patternFill patternType="solid">
        <fgColor rgb="00FCE9D2"/>
      </patternFill>
    </fill>
    <fill>
      <patternFill patternType="solid">
        <fgColor rgb="005F6B7A"/>
      </patternFill>
    </fill>
    <fill>
      <patternFill patternType="solid">
        <fgColor rgb="00ECEEF1"/>
      </patternFill>
    </fill>
    <fill>
      <patternFill patternType="solid">
        <fgColor rgb="00F8FAFC"/>
      </patternFill>
    </fill>
    <fill>
      <patternFill patternType="solid">
        <fgColor rgb="00FFF3C4"/>
      </patternFill>
    </fill>
    <fill>
      <patternFill patternType="solid">
        <fgColor rgb="004B5563"/>
      </patternFill>
    </fill>
  </fills>
  <borders count="18">
    <border>
      <left/>
      <right/>
      <top/>
      <bottom/>
      <diagonal/>
    </border>
    <border/>
    <border>
      <bottom style="medium">
        <color rgb="001E3A5F"/>
      </bottom>
    </border>
    <border>
      <left style="medium">
        <color rgb="00FFFFFF"/>
      </left>
    </border>
    <border>
      <left style="medium">
        <color rgb="00FFFFFF"/>
      </left>
      <bottom style="medium">
        <color rgb="002B6CB0"/>
      </bottom>
    </border>
    <border>
      <bottom style="medium">
        <color rgb="002B6CB0"/>
      </bottom>
    </border>
    <border>
      <left style="medium">
        <color rgb="00FFFFFF"/>
      </left>
      <bottom style="medium">
        <color rgb="005B3E96"/>
      </bottom>
    </border>
    <border>
      <bottom style="medium">
        <color rgb="005B3E96"/>
      </bottom>
    </border>
    <border>
      <left style="medium">
        <color rgb="00FFFFFF"/>
      </left>
      <bottom style="medium">
        <color rgb="000F766E"/>
      </bottom>
    </border>
    <border>
      <bottom style="medium">
        <color rgb="000F766E"/>
      </bottom>
    </border>
    <border>
      <left style="medium">
        <color rgb="00FFFFFF"/>
      </left>
      <bottom style="medium">
        <color rgb="003F7A35"/>
      </bottom>
    </border>
    <border>
      <bottom style="medium">
        <color rgb="003F7A35"/>
      </bottom>
    </border>
    <border>
      <left style="medium">
        <color rgb="00FFFFFF"/>
      </left>
      <bottom style="medium">
        <color rgb="00B45309"/>
      </bottom>
    </border>
    <border>
      <bottom style="medium">
        <color rgb="00B45309"/>
      </bottom>
    </border>
    <border>
      <left style="medium">
        <color rgb="00FFFFFF"/>
      </left>
      <bottom style="medium">
        <color rgb="005F6B7A"/>
      </bottom>
    </border>
    <border>
      <bottom style="medium">
        <color rgb="005F6B7A"/>
      </bottom>
    </border>
    <border>
      <bottom style="thin">
        <color rgb="00E5E7EB"/>
      </bottom>
    </border>
    <border>
      <left style="thin">
        <color rgb="00CBD5E1"/>
      </left>
      <bottom style="thin">
        <color rgb="00E5E7EB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vertical="center" indent="1"/>
    </xf>
    <xf numFmtId="0" fontId="10" fillId="3" borderId="0" applyAlignment="1" pivotButton="0" quotePrefix="0" xfId="0">
      <alignment vertical="center" indent="1"/>
    </xf>
    <xf numFmtId="0" fontId="1" fillId="4" borderId="0" applyAlignment="1" pivotButton="0" quotePrefix="0" xfId="0">
      <alignment vertical="center" indent="1"/>
    </xf>
    <xf numFmtId="0" fontId="10" fillId="5" borderId="0" applyAlignment="1" pivotButton="0" quotePrefix="0" xfId="0">
      <alignment vertical="center" indent="1"/>
    </xf>
    <xf numFmtId="0" fontId="1" fillId="6" borderId="0" applyAlignment="1" pivotButton="0" quotePrefix="0" xfId="0">
      <alignment vertical="center" indent="1"/>
    </xf>
    <xf numFmtId="0" fontId="10" fillId="7" borderId="0" applyAlignment="1" pivotButton="0" quotePrefix="0" xfId="0">
      <alignment vertical="center" indent="1"/>
    </xf>
    <xf numFmtId="0" fontId="1" fillId="8" borderId="0" applyAlignment="1" pivotButton="0" quotePrefix="0" xfId="0">
      <alignment vertical="center" indent="1"/>
    </xf>
    <xf numFmtId="0" fontId="10" fillId="9" borderId="0" applyAlignment="1" pivotButton="0" quotePrefix="0" xfId="0">
      <alignment vertical="center" indent="1"/>
    </xf>
    <xf numFmtId="0" fontId="1" fillId="10" borderId="0" applyAlignment="1" pivotButton="0" quotePrefix="0" xfId="0">
      <alignment vertical="center" indent="1"/>
    </xf>
    <xf numFmtId="0" fontId="10" fillId="11" borderId="0" applyAlignment="1" pivotButton="0" quotePrefix="0" xfId="0">
      <alignment vertical="center" indent="1"/>
    </xf>
    <xf numFmtId="0" fontId="1" fillId="12" borderId="0" applyAlignment="1" pivotButton="0" quotePrefix="0" xfId="0">
      <alignment vertical="center" indent="1"/>
    </xf>
    <xf numFmtId="0" fontId="10" fillId="13" borderId="0" applyAlignment="1" pivotButton="0" quotePrefix="0" xfId="0">
      <alignment vertical="center" indent="1"/>
    </xf>
    <xf numFmtId="0" fontId="1" fillId="14" borderId="0" applyAlignment="1" pivotButton="0" quotePrefix="0" xfId="0">
      <alignment vertical="center" indent="1"/>
    </xf>
    <xf numFmtId="0" fontId="10" fillId="15" borderId="0" applyAlignment="1" pivotButton="0" quotePrefix="0" xfId="0">
      <alignment vertical="center" indent="1"/>
    </xf>
    <xf numFmtId="0" fontId="11" fillId="17" borderId="0" applyAlignment="1" pivotButton="0" quotePrefix="0" xfId="0">
      <alignment vertical="center" indent="1"/>
    </xf>
    <xf numFmtId="0" fontId="12" fillId="17" borderId="0" applyAlignment="1" pivotButton="0" quotePrefix="0" xfId="0">
      <alignment vertical="center" indent="1"/>
    </xf>
    <xf numFmtId="0" fontId="13" fillId="0" borderId="16" applyAlignment="1" pivotButton="0" quotePrefix="0" xfId="0">
      <alignment vertical="top" indent="1"/>
    </xf>
    <xf numFmtId="0" fontId="3" fillId="0" borderId="16" applyAlignment="1" pivotButton="0" quotePrefix="0" xfId="0">
      <alignment vertical="top" wrapText="1"/>
    </xf>
    <xf numFmtId="0" fontId="13" fillId="16" borderId="16" applyAlignment="1" pivotButton="0" quotePrefix="0" xfId="0">
      <alignment vertical="top" indent="1"/>
    </xf>
    <xf numFmtId="0" fontId="3" fillId="16" borderId="16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8" borderId="3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10" borderId="3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2" borderId="3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4" borderId="3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center" vertical="center" wrapText="1"/>
    </xf>
    <xf numFmtId="0" fontId="2" fillId="7" borderId="6" applyAlignment="1" pivotButton="0" quotePrefix="0" xfId="0">
      <alignment horizontal="center" vertical="center" wrapText="1"/>
    </xf>
    <xf numFmtId="0" fontId="2" fillId="7" borderId="7" applyAlignment="1" pivotButton="0" quotePrefix="0" xfId="0">
      <alignment horizontal="center" vertical="center" wrapText="1"/>
    </xf>
    <xf numFmtId="0" fontId="2" fillId="9" borderId="8" applyAlignment="1" pivotButton="0" quotePrefix="0" xfId="0">
      <alignment horizontal="center" vertical="center" wrapText="1"/>
    </xf>
    <xf numFmtId="0" fontId="2" fillId="9" borderId="9" applyAlignment="1" pivotButton="0" quotePrefix="0" xfId="0">
      <alignment horizontal="center" vertical="center" wrapText="1"/>
    </xf>
    <xf numFmtId="0" fontId="2" fillId="11" borderId="10" applyAlignment="1" pivotButton="0" quotePrefix="0" xfId="0">
      <alignment horizontal="center" vertical="center" wrapText="1"/>
    </xf>
    <xf numFmtId="0" fontId="2" fillId="11" borderId="11" applyAlignment="1" pivotButton="0" quotePrefix="0" xfId="0">
      <alignment horizontal="center" vertical="center" wrapText="1"/>
    </xf>
    <xf numFmtId="0" fontId="2" fillId="13" borderId="12" applyAlignment="1" pivotButton="0" quotePrefix="0" xfId="0">
      <alignment horizontal="center" vertical="center" wrapText="1"/>
    </xf>
    <xf numFmtId="0" fontId="2" fillId="13" borderId="13" applyAlignment="1" pivotButton="0" quotePrefix="0" xfId="0">
      <alignment horizontal="center" vertical="center" wrapText="1"/>
    </xf>
    <xf numFmtId="0" fontId="2" fillId="15" borderId="14" applyAlignment="1" pivotButton="0" quotePrefix="0" xfId="0">
      <alignment horizontal="center" vertical="center" wrapText="1"/>
    </xf>
    <xf numFmtId="0" fontId="2" fillId="15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left" vertical="center"/>
    </xf>
    <xf numFmtId="0" fontId="3" fillId="0" borderId="16" applyAlignment="1" pivotButton="0" quotePrefix="0" xfId="0">
      <alignment horizontal="center" vertical="center"/>
    </xf>
    <xf numFmtId="0" fontId="5" fillId="0" borderId="16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164" fontId="3" fillId="0" borderId="17" applyAlignment="1" pivotButton="0" quotePrefix="0" xfId="0">
      <alignment horizontal="center" vertical="center"/>
    </xf>
    <xf numFmtId="164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left" vertical="center"/>
    </xf>
    <xf numFmtId="165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3" fontId="3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left" vertical="center"/>
    </xf>
    <xf numFmtId="0" fontId="6" fillId="0" borderId="16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3" fontId="6" fillId="0" borderId="16" applyAlignment="1" pivotButton="0" quotePrefix="0" xfId="0">
      <alignment horizontal="center" vertical="center"/>
    </xf>
    <xf numFmtId="0" fontId="7" fillId="0" borderId="16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3" fillId="16" borderId="16" applyAlignment="1" pivotButton="0" quotePrefix="0" xfId="0">
      <alignment horizontal="left" vertical="center"/>
    </xf>
    <xf numFmtId="0" fontId="5" fillId="16" borderId="16" applyAlignment="1" pivotButton="0" quotePrefix="0" xfId="0">
      <alignment horizontal="center" vertical="center"/>
    </xf>
    <xf numFmtId="0" fontId="3" fillId="16" borderId="16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 wrapText="1"/>
    </xf>
    <xf numFmtId="0" fontId="3" fillId="16" borderId="16" applyAlignment="1" pivotButton="0" quotePrefix="0" xfId="0">
      <alignment vertical="top"/>
    </xf>
    <xf numFmtId="0" fontId="7" fillId="16" borderId="16" applyAlignment="1" pivotButton="0" quotePrefix="0" xfId="0">
      <alignment vertical="top"/>
    </xf>
    <xf numFmtId="0" fontId="3" fillId="0" borderId="16" applyAlignment="1" pivotButton="0" quotePrefix="0" xfId="0">
      <alignment vertical="top"/>
    </xf>
    <xf numFmtId="0" fontId="7" fillId="0" borderId="16" applyAlignment="1" pivotButton="0" quotePrefix="0" xfId="0">
      <alignment vertical="top"/>
    </xf>
  </cellXfs>
  <cellStyles count="1">
    <cellStyle name="Normal" xfId="0" builtinId="0" hidden="0"/>
  </cellStyles>
  <dxfs count="14">
    <dxf>
      <fill>
        <patternFill patternType="solid">
          <fgColor rgb="00FFF3C4"/>
        </patternFill>
      </fill>
    </dxf>
    <dxf>
      <fill>
        <patternFill patternType="solid">
          <fgColor rgb="00F8FAFC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9A3412"/>
      </font>
      <fill>
        <patternFill patternType="solid">
          <fgColor rgb="00FFEDD5"/>
        </patternFill>
      </fill>
    </dxf>
    <dxf>
      <font>
        <b val="1"/>
        <color rgb="001E40AF"/>
      </font>
      <fill>
        <patternFill patternType="solid">
          <fgColor rgb="00DBEAFE"/>
        </patternFill>
      </fill>
    </dxf>
    <dxf>
      <font>
        <b val="1"/>
        <color rgb="00713F12"/>
      </font>
      <fill>
        <patternFill patternType="solid">
          <fgColor rgb="00FEF9C3"/>
        </patternFill>
      </fill>
    </dxf>
    <dxf>
      <font>
        <b val="1"/>
        <color rgb="00713F12"/>
      </font>
      <fill>
        <patternFill patternType="solid">
          <fgColor rgb="00FDE68A"/>
        </patternFill>
      </fill>
    </dxf>
    <dxf>
      <font>
        <b val="1"/>
        <color rgb="00FFFFFF"/>
      </font>
      <fill>
        <patternFill patternType="solid">
          <fgColor rgb="00F59E0B"/>
        </patternFill>
      </fill>
    </dxf>
    <dxf>
      <font>
        <b val="1"/>
        <color rgb="00FFFFFF"/>
      </font>
      <fill>
        <patternFill patternType="solid">
          <fgColor rgb="00B45309"/>
        </patternFill>
      </fill>
    </dxf>
    <dxf>
      <font>
        <b val="1"/>
        <color rgb="0015803D"/>
      </font>
    </dxf>
    <dxf>
      <font>
        <b val="1"/>
        <color rgb="00B91C1C"/>
      </font>
    </dxf>
    <dxf>
      <fill>
        <patternFill patternType="solid">
          <fgColor rgb="00E5E7EB"/>
        </patternFill>
      </fill>
    </dxf>
    <dxf>
      <font>
        <color rgb="009CA3AF"/>
      </font>
    </dxf>
    <dxf>
      <font>
        <b val="1"/>
        <color rgb="00B4530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Asiatique%20The%20Riverfront" TargetMode="External" Id="rId1"/><Relationship Type="http://schemas.openxmlformats.org/officeDocument/2006/relationships/hyperlink" Target="https://www.google.com/maps/search/?api=1&amp;query=&#3627;&#3629;&#3624;&#3636;&#3621;&#3611;&#3623;&#3633;&#3602;&#3609;&#3608;&#3619;&#3619;&#3617;&#3649;&#3627;&#3656;&#3591;&#3585;&#3619;&#3640;&#3591;&#3648;&#3607;&#3614;&#3617;&#3627;&#3634;&#3609;&#3588;&#3619;%20(BACC)&amp;query_place_id=ChIJfWxvUM2e4jARCxWWp4sC0B4" TargetMode="External" Id="rId2"/><Relationship Type="http://schemas.openxmlformats.org/officeDocument/2006/relationships/hyperlink" Target="https://www.google.com/maps/search/?api=1&amp;query=&#3607;&#3657;&#3629;&#3591;&#3615;&#3657;&#3634;&#3592;&#3635;&#3621;&#3629;&#3591;&#3585;&#3619;&#3640;&#3591;&#3648;&#3607;&#3614;%20(&#3648;&#3629;&#3585;&#3617;&#3633;&#3618;)&amp;query_place_id=ChIJnUa-d6Wf4jARp1M-LNKpKCw" TargetMode="External" Id="rId3"/><Relationship Type="http://schemas.openxmlformats.org/officeDocument/2006/relationships/hyperlink" Target="https://www.google.com/maps/search/?api=1&amp;query=&#3610;&#3619;&#3619;&#3607;&#3633;&#3604;&#3607;&#3629;&#3591;%20(&#3606;.&#3610;&#3619;&#3619;&#3607;&#3633;&#3604;&#3607;&#3629;&#3591;)&amp;query_place_id=ChIJCeI1ky2Z4jARzlbzs6UHjXs" TargetMode="External" Id="rId4"/><Relationship Type="http://schemas.openxmlformats.org/officeDocument/2006/relationships/hyperlink" Target="https://www.google.com/maps/search/?api=1&amp;query=&#3626;&#3623;&#3609;&#3648;&#3610;&#3597;&#3592;&#3585;&#3636;&#3605;&#3636;&amp;query_place_id=ChIJmfMfvBuf4jAR9rugvZd5Lyc" TargetMode="External" Id="rId5"/><Relationship Type="http://schemas.openxmlformats.org/officeDocument/2006/relationships/hyperlink" Target="https://www.google.com/maps/search/?api=1&amp;query=&#3605;&#3621;&#3634;&#3604;&#3592;&#3605;&#3640;&#3592;&#3633;&#3585;&#3619;" TargetMode="External" Id="rId6"/><Relationship Type="http://schemas.openxmlformats.org/officeDocument/2006/relationships/hyperlink" Target="https://www.google.com/maps/search/?api=1&amp;query=&#3623;&#3633;&#3604;&#3614;&#3619;&#3632;&#3624;&#3619;&#3637;&#3619;&#3633;&#3605;&#3609;&#3624;&#3634;&#3626;&#3604;&#3634;&#3619;&#3634;&#3617;%20(&#3623;&#3633;&#3604;&#3614;&#3619;&#3632;&#3649;&#3585;&#3657;&#3623;)&amp;query_place_id=ChIJPzZsMU6Z4jARQUzvk913bCo" TargetMode="External" Id="rId7"/><Relationship Type="http://schemas.openxmlformats.org/officeDocument/2006/relationships/hyperlink" Target="https://www.google.com/maps/search/?api=1&amp;query=&#3652;&#3629;&#3588;&#3629;&#3609;&#3626;&#3618;&#3634;&#3617;&amp;query_place_id=ChIJFRjwgc2Z4jAR9JIadoa9YBY" TargetMode="External" Id="rId8"/><Relationship Type="http://schemas.openxmlformats.org/officeDocument/2006/relationships/hyperlink" Target="https://www.google.com/maps/search/?api=1&amp;query=&#3588;&#3621;&#3629;&#3591;&#3610;&#3634;&#3591;&#3627;&#3621;&#3623;&#3591;%20(Artist%20House%20/%20&#3605;&#3621;&#3634;&#3604;&#3609;&#3657;&#3635;&#3588;&#3621;&#3629;&#3591;&#3610;&#3634;&#3591;&#3627;&#3621;&#3623;&#3591;%20&#3616;&#3634;&#3625;&#3637;&#3648;&#3592;&#3619;&#3636;&#3597;)&amp;query_place_id=ChIJF6uVAzt9HTEROKM0WKZMU7M" TargetMode="External" Id="rId9"/><Relationship Type="http://schemas.openxmlformats.org/officeDocument/2006/relationships/hyperlink" Target="https://www.google.com/maps/search/?api=1&amp;query=SkyWalk%20King%20Power%20Mahanakhon%20(&#3588;&#3636;&#3591;&#3648;&#3614;&#3634;&#3648;&#3623;&#3629;&#3619;&#3660;%20&#3617;&#3627;&#3634;&#3609;&#3588;&#3619;)&amp;query_place_id=ChIJGzV2mdKY4jARdIb62T7BoE4" TargetMode="External" Id="rId10"/><Relationship Type="http://schemas.openxmlformats.org/officeDocument/2006/relationships/hyperlink" Target="https://www.google.com/maps/search/?api=1&amp;query=&#3626;&#3632;&#3614;&#3634;&#3609;&#3614;&#3619;&#3632;&#3614;&#3640;&#3607;&#3608;&#3618;&#3629;&#3604;&#3615;&#3657;&#3634;%20(&#3626;&#3632;&#3614;&#3634;&#3609;&#3614;&#3640;&#3607;&#3608;)&amp;query_place_id=ChIJEcUU04SZ4jARfyNZ0JzFzng" TargetMode="External" Id="rId11"/><Relationship Type="http://schemas.openxmlformats.org/officeDocument/2006/relationships/hyperlink" Target="https://www.google.com/maps/search/?api=1&amp;query=&#3618;&#3656;&#3634;&#3609;&#3614;&#3619;&#3632;&#3629;&#3634;&#3607;&#3636;&#3605;&#3618;&#3660;%20(&#3606;.&#3614;&#3619;&#3632;&#3629;&#3634;&#3607;&#3636;&#3605;&#3618;&#3660;%20&#3610;&#3634;&#3591;&#3621;&#3635;&#3614;&#3641;)&amp;query_place_id=ChIJpRU2WHKZ4jARaOpvlk-0OVc" TargetMode="External" Id="rId12"/><Relationship Type="http://schemas.openxmlformats.org/officeDocument/2006/relationships/hyperlink" Target="https://www.google.com/maps/search/?api=1&amp;query=&#3626;&#3623;&#3609;&#3626;&#3618;&#3634;&#3617;%20(Siam%20Amazing%20Park)&amp;query_place_id=ChIJrc78zJBjHTERdLG8EciM5Qs" TargetMode="External" Id="rId13"/><Relationship Type="http://schemas.openxmlformats.org/officeDocument/2006/relationships/hyperlink" Target="https://www.google.com/maps/search/?api=1&amp;query=&#3626;&#3618;&#3634;&#3617;&#3614;&#3634;&#3619;&#3634;&#3585;&#3629;&#3609;" TargetMode="External" Id="rId14"/><Relationship Type="http://schemas.openxmlformats.org/officeDocument/2006/relationships/hyperlink" Target="https://www.google.com/maps/search/?api=1&amp;query=&#3626;&#3623;&#3609;&#3623;&#3594;&#3636;&#3619;&#3648;&#3610;&#3597;&#3592;&#3607;&#3633;&#3624;%20(&#3626;&#3623;&#3609;&#3619;&#3606;&#3652;&#3615;)&amp;query_place_id=ChIJTw-JsUKc4jAREpXc3JmuyAE" TargetMode="External" Id="rId15"/><Relationship Type="http://schemas.openxmlformats.org/officeDocument/2006/relationships/hyperlink" Target="https://www.google.com/maps/search/?api=1&amp;query=&#3623;&#3633;&#3604;&#3629;&#3619;&#3640;&#3603;&#3619;&#3634;&#3594;&#3623;&#3619;&#3634;&#3619;&#3634;&#3617;&#3619;&#3634;&#3594;&#3623;&#3619;&#3617;&#3627;&#3634;&#3623;&#3636;&#3627;&#3634;&#3619;&amp;query_place_id=ChIJaSv_6gaZ4jARnbiUVn6Z_YY" TargetMode="External" Id="rId16"/><Relationship Type="http://schemas.openxmlformats.org/officeDocument/2006/relationships/hyperlink" Target="https://www.google.com/maps/search/?api=1&amp;query=&#3623;&#3633;&#3604;&#3611;&#3634;&#3585;&#3609;&#3657;&#3635;&#3616;&#3634;&#3625;&#3637;&#3648;&#3592;&#3619;&#3636;&#3597;&amp;query_place_id=ChIJvwXXwEWY4jARC2dj117syBA" TargetMode="External" Id="rId17"/><Relationship Type="http://schemas.openxmlformats.org/officeDocument/2006/relationships/hyperlink" Target="https://www.google.com/maps/search/?api=1&amp;query=&#3623;&#3633;&#3604;&#3614;&#3619;&#3632;&#3648;&#3594;&#3605;&#3640;&#3614;&#3609;&#3623;&#3636;&#3617;&#3621;&#3617;&#3633;&#3591;&#3588;&#3621;&#3634;&#3619;&#3634;&#3617;%20(&#3623;&#3633;&#3604;&#3650;&#3614;&#3608;&#3636;&#3660;)" TargetMode="External" Id="rId18"/><Relationship Type="http://schemas.openxmlformats.org/officeDocument/2006/relationships/hyperlink" Target="https://www.google.com/maps/search/?api=1&amp;query=&#3648;&#3618;&#3634;&#3623;&#3619;&#3634;&#3594;&amp;query_place_id=ChIJ95Nh9yGZ4jARAjfcG2uIZFg" TargetMode="External" Id="rId19"/><Relationship Type="http://schemas.openxmlformats.org/officeDocument/2006/relationships/hyperlink" Target="https://www.google.com/maps/search/?api=1&amp;query=Mahanakhon%20Eatery&amp;query_place_id=ChIJpYfHXaef4jARpiefh3BHf1k" TargetMode="External" Id="rId20"/><Relationship Type="http://schemas.openxmlformats.org/officeDocument/2006/relationships/hyperlink" Target="https://www.google.com/maps/search/?api=1&amp;query=Babyccino%20Mahanakhon&amp;query_place_id=ChIJL_Skva2Z4jARptt0z0enAIM" TargetMode="External" Id="rId21"/><Relationship Type="http://schemas.openxmlformats.org/officeDocument/2006/relationships/hyperlink" Target="https://www.google.com/maps/search/?api=1&amp;query=The%20Standard%20Grill&amp;query_place_id=ChIJtzsv7T2Z4jAR2fSNVxk9_Jc" TargetMode="External" Id="rId22"/><Relationship Type="http://schemas.openxmlformats.org/officeDocument/2006/relationships/hyperlink" Target="https://www.google.com/maps/search/?api=1&amp;query=Sugar%20Bliss%20Coffee%20&amp;%20Brunch%20(Ashton%20Silom)&amp;query_place_id=ChIJ_9mRbwqZ4jAR5qjatMOK910" TargetMode="External" Id="rId23"/><Relationship Type="http://schemas.openxmlformats.org/officeDocument/2006/relationships/hyperlink" Target="https://www.google.com/maps/search/?api=1&amp;query=Still%20Bean%20&#8212;%20Silom&amp;query_place_id=ChIJpY1mWCaf4jARIHPxN0HALGc" TargetMode="External" Id="rId24"/><Relationship Type="http://schemas.openxmlformats.org/officeDocument/2006/relationships/hyperlink" Target="https://www.google.com/maps/search/?api=1&amp;query=GATTA%20Cafe%20(Park%20Silom)%20-%20Specialty%20Coffee&amp;query_place_id=ChIJ54yK4R2f4jARqeeHInvT16Y" TargetMode="External" Id="rId25"/><Relationship Type="http://schemas.openxmlformats.org/officeDocument/2006/relationships/hyperlink" Target="https://www.google.com/maps/search/?api=1&amp;query=Brioche%20from%20Heaven&amp;query_place_id=ChIJsbfRmjGZ4jARcKFHjhSe1ls" TargetMode="External" Id="rId26"/><Relationship Type="http://schemas.openxmlformats.org/officeDocument/2006/relationships/hyperlink" Target="https://www.google.com/maps/search/?api=1&amp;query=After%20You%20Dessert%20Caf&#233;%20(Silom%20Complex)&amp;query_place_id=ChIJa2em1dGY4jARkD433irtHU8" TargetMode="External" Id="rId27"/><Relationship Type="http://schemas.openxmlformats.org/officeDocument/2006/relationships/hyperlink" Target="https://www.google.com/maps/search/?api=1&amp;query=Kyo%20Roll%20En%20(Silom%20Complex)&amp;query_place_id=ChIJr9hEAyyf4jARq1DOwvgEalo" TargetMode="External" Id="rId28"/><Relationship Type="http://schemas.openxmlformats.org/officeDocument/2006/relationships/hyperlink" Target="https://www.google.com/maps/search/?api=1&amp;query=Thong%20Heng%20Lee%20Restaurant&amp;query_place_id=ChIJqda0RQmZ4jAR861kobU9SaE" TargetMode="External" Id="rId29"/><Relationship Type="http://schemas.openxmlformats.org/officeDocument/2006/relationships/hyperlink" Target="https://www.google.com/maps/search/?api=1&amp;query=The%20Gate%20Grand%20Palace&amp;query_place_id=ChIJXSG1gOGZ4jARQWWzQjSY8Hw" TargetMode="External" Id="rId30"/><Relationship Type="http://schemas.openxmlformats.org/officeDocument/2006/relationships/hyperlink" Target="https://www.google.com/maps/search/?api=1&amp;query=Thai%20Royal%20Kitchen%20&#3588;&#3619;&#3633;&#3623;&#3627;&#3609;&#3657;&#3634;&#3623;&#3633;&#3591;&amp;query_place_id=ChIJ3RQGqDKZ4jARor7IX-x0y0s" TargetMode="External" Id="rId31"/><Relationship Type="http://schemas.openxmlformats.org/officeDocument/2006/relationships/hyperlink" Target="https://www.google.com/maps/search/?api=1&amp;query=Tawang%20Thai%20Tea,%20Legendary%20of%20LIGOR%20@Wat%20Phra%20Kaew&amp;query_place_id=ChIJX1I3HwCZ4jARxCmOcCGCapw" TargetMode="External" Id="rId32"/><Relationship Type="http://schemas.openxmlformats.org/officeDocument/2006/relationships/hyperlink" Target="https://www.google.com/maps/search/?api=1&amp;query=Cloud%20Phranakhon&amp;query_place_id=ChIJ0VnuaBeZ4jARYxkgVt-fU-o" TargetMode="External" Id="rId33"/><Relationship Type="http://schemas.openxmlformats.org/officeDocument/2006/relationships/hyperlink" Target="https://www.google.com/maps/search/?api=1&amp;query=&#3594;&#3656;&#3634;&#3591;&#3588;&#3633;&#3656;&#3623;%20&#3626;&#3634;&#3586;&#3634;&#3607;&#3656;&#3634;&#3614;&#3619;&#3632;&#3592;&#3633;&#3609;&#3607;&#3619;&#3660;&amp;query_place_id=ChIJnx1_2XKZ4jARlAWQwKo5-_Y" TargetMode="External" Id="rId34"/><Relationship Type="http://schemas.openxmlformats.org/officeDocument/2006/relationships/hyperlink" Target="https://www.google.com/maps/search/?api=1&amp;query=Nuttaporn%20Ice%20Cream%20(&#3652;&#3629;&#3624;&#3585;&#3619;&#3637;&#3617;&#3617;&#3632;&#3614;&#3619;&#3657;&#3634;&#3623;&#3609;&#3633;&#3600;&#3614;&#3619;)&amp;query_place_id=ChIJ5VJGvhGZ4jARSBZl5Kc7a2k" TargetMode="External" Id="rId35"/><Relationship Type="http://schemas.openxmlformats.org/officeDocument/2006/relationships/hyperlink" Target="https://www.google.com/maps/search/?api=1&amp;query=&#3619;&#3657;&#3634;&#3609;&#3621;&#3640;&#3591;&#3649;&#3604;&#3591;%20(&#3586;&#3609;&#3617;&#3652;&#3607;&#3618;&#3650;&#3610;&#3619;&#3634;&#3603;%20&#3649;&#3614;&#3619;&#3656;&#3591;&#3609;&#3619;&#3634;)&amp;query_place_id=ChIJa0NEkBGZ4jARK8fGc1AlX4k" TargetMode="External" Id="rId36"/><Relationship Type="http://schemas.openxmlformats.org/officeDocument/2006/relationships/hyperlink" Target="https://www.google.com/maps/search/?api=1&amp;query=PAULETTE%20BKK&amp;query_place_id=ChIJHdQm8CKZ4jARSeplrVUwAtg" TargetMode="External" Id="rId37"/><Relationship Type="http://schemas.openxmlformats.org/officeDocument/2006/relationships/hyperlink" Target="https://www.google.com/maps/search/?api=1&amp;query=Baan%20ThaTien&amp;query_place_id=ChIJAYJsTQSZ4jARi7QrBrmpxY4" TargetMode="External" Id="rId38"/><Relationship Type="http://schemas.openxmlformats.org/officeDocument/2006/relationships/hyperlink" Target="https://www.google.com/maps/search/?api=1&amp;query=Home%20Cafe%20Tha%20Tien&amp;query_place_id=ChIJ6aLoxQWZ4jARd7FjOaPiQ08" TargetMode="External" Id="rId39"/><Relationship Type="http://schemas.openxmlformats.org/officeDocument/2006/relationships/hyperlink" Target="https://www.google.com/maps/search/?api=1&amp;query=RONGROS&amp;query_place_id=ChIJjYPUa8GZ4jARi9fgigQOiR8" TargetMode="External" Id="rId40"/><Relationship Type="http://schemas.openxmlformats.org/officeDocument/2006/relationships/hyperlink" Target="https://www.google.com/maps/search/?api=1&amp;query=Orin%20Coffee%20roaster%20&amp;%20Specialty%20tea&amp;query_place_id=ChIJ3cc_YhmZ4jARPfL1wgx3Ywk" TargetMode="External" Id="rId41"/><Relationship Type="http://schemas.openxmlformats.org/officeDocument/2006/relationships/hyperlink" Target="https://www.google.com/maps/search/?api=1&amp;query=SLOWBAR%20:%20Slow%20coffee%20&amp;%20Juice%20bar&amp;query_place_id=ChIJI7VVefWZ4jARWW57XZMlPO4" TargetMode="External" Id="rId42"/><Relationship Type="http://schemas.openxmlformats.org/officeDocument/2006/relationships/hyperlink" Target="https://www.google.com/maps/search/?api=1&amp;query=&#3605;&#3633;&#3657;&#3591;&#3648;&#3605;&#3637;&#3618;&#3609;&#3609;&#3660;%20-%20Tang%20De%20Tien%20Cafe'%20&amp;%20Curated%20twist&amp;query_place_id=ChIJpRm_RwCZ4jARHuxdKSbqYX0" TargetMode="External" Id="rId43"/><Relationship Type="http://schemas.openxmlformats.org/officeDocument/2006/relationships/hyperlink" Target="https://www.google.com/maps/search/?api=1&amp;query=Heychom%20Thai%20Dessert%20Bar&amp;query_place_id=ChIJf676IJeZ4jARHVCHVT4OJko" TargetMode="External" Id="rId44"/><Relationship Type="http://schemas.openxmlformats.org/officeDocument/2006/relationships/hyperlink" Target="https://www.google.com/maps/search/?api=1&amp;query=After%20Sunrise&amp;query_place_id=ChIJ2ewOZh6Z4jARqNuLp2xFDW8" TargetMode="External" Id="rId45"/><Relationship Type="http://schemas.openxmlformats.org/officeDocument/2006/relationships/hyperlink" Target="https://www.google.com/maps/search/?api=1&amp;query=A%20Pink%20Rabbit%20+%20Bob&amp;query_place_id=ChIJv9Qyc9uZ4jAR7LyLQfsLySI" TargetMode="External" Id="rId46"/><Relationship Type="http://schemas.openxmlformats.org/officeDocument/2006/relationships/hyperlink" Target="https://www.google.com/maps/search/?api=1&amp;query=Chom%20Arun&amp;query_place_id=ChIJg86wsZ-Z4jARYyyrIYV1rpw" TargetMode="External" Id="rId47"/><Relationship Type="http://schemas.openxmlformats.org/officeDocument/2006/relationships/hyperlink" Target="https://www.google.com/maps/search/?api=1&amp;query=Supanniga%20Eating%20Room%20Tha%20Tien&amp;query_place_id=ChIJjZS9RwSZ4jARNZMgiT03fJ4" TargetMode="External" Id="rId48"/><Relationship Type="http://schemas.openxmlformats.org/officeDocument/2006/relationships/hyperlink" Target="https://www.google.com/maps/search/?api=1&amp;query=Eat%20Sight%20Story%20Deck&amp;query_place_id=ChIJ961s0QWZ4jARvvtf8tT2ZzQ" TargetMode="External" Id="rId49"/><Relationship Type="http://schemas.openxmlformats.org/officeDocument/2006/relationships/hyperlink" Target="https://www.google.com/maps/search/?api=1&amp;query=ViVi%20The%20Coffee%20Place&amp;query_place_id=ChIJrTG8QwSZ4jAR7y9dYWUsw_o" TargetMode="External" Id="rId50"/><Relationship Type="http://schemas.openxmlformats.org/officeDocument/2006/relationships/hyperlink" Target="https://www.google.com/maps/search/?api=1&amp;query=Arun-Cafe&amp;query_place_id=ChIJhbOGK6qZ4jARpbTx6P5md9s" TargetMode="External" Id="rId51"/><Relationship Type="http://schemas.openxmlformats.org/officeDocument/2006/relationships/hyperlink" Target="https://www.google.com/maps/search/?api=1&amp;query=gunsbake.cafe&amp;query_place_id=ChIJwznn8QSZ4jARth7RYPTDmAc" TargetMode="External" Id="rId52"/><Relationship Type="http://schemas.openxmlformats.org/officeDocument/2006/relationships/hyperlink" Target="https://www.google.com/maps/search/?api=1&amp;query=Before%20Sunset&amp;query_place_id=ChIJ28Sybv2Z4jARwGxmuwOJbso" TargetMode="External" Id="rId53"/><Relationship Type="http://schemas.openxmlformats.org/officeDocument/2006/relationships/hyperlink" Target="https://www.google.com/maps/search/?api=1&amp;query=Priscilla%20Ice%20Cream&amp;query_place_id=ChIJ321kK3GZ4jAR2rRWuWXBPMw" TargetMode="External" Id="rId54"/><Relationship Type="http://schemas.openxmlformats.org/officeDocument/2006/relationships/hyperlink" Target="https://www.google.com/maps/search/?api=1&amp;query=Ice%20Therapy%20(&#3652;&#3629;&#3624;&#3585;&#3619;&#3637;&#3617;&#3648;&#3592;&#3621;&#3634;&#3650;&#3605;&#3657;)&amp;query_place_id=ChIJJQLvOwCZ4jARUyBcQD86DEY" TargetMode="External" Id="rId55"/><Relationship Type="http://schemas.openxmlformats.org/officeDocument/2006/relationships/hyperlink" Target="https://www.google.com/maps/search/?api=1&amp;query=&#3619;&#3657;&#3634;&#3609;&#3605;&#3640;&#3657;&#3617;&#3629;&#3619;&#3656;&#3629;&#3618;%20&#3588;&#3634;&#3648;&#3615;&#3656;%20Toomaroi%20Caf&#233;&amp;query_place_id=ChIJT3ZAob-Z4jARZKL_lsJzvVY" TargetMode="External" Id="rId56"/><Relationship Type="http://schemas.openxmlformats.org/officeDocument/2006/relationships/hyperlink" Target="https://www.google.com/maps/search/?api=1&amp;query=Hidden%20Bangkok%20Bistro&amp;query_place_id=ChIJZ6CYhMaZ4jARJ98e1bZkf5Y" TargetMode="External" Id="rId57"/><Relationship Type="http://schemas.openxmlformats.org/officeDocument/2006/relationships/hyperlink" Target="https://www.google.com/maps/search/?api=1&amp;query=&#3593;&#3629;&#3648;&#3621;&#3657;&#3591;%20&#3627;&#3617;&#3637;&#3656;&#3585;&#3619;&#3632;&#3648;&#3593;&#3604;%20&#3605;&#3621;&#3634;&#3604;&#3614;&#3621;&#3641;&amp;query_place_id=ChIJ026d7FuY4jARmnM2EpwSY9M" TargetMode="External" Id="rId58"/><Relationship Type="http://schemas.openxmlformats.org/officeDocument/2006/relationships/hyperlink" Target="https://www.google.com/maps/search/?api=1&amp;query=Meili%20Cafe%20&#3648;&#3627;&#3617;&#3656;&#3618;&#3621;&#3637;&#3656;&#3588;&#3634;&#3648;&#3615;&#3656;&amp;query_place_id=ChIJt441FFyZ4jARjDnyNMSSHCE" TargetMode="External" Id="rId59"/><Relationship Type="http://schemas.openxmlformats.org/officeDocument/2006/relationships/hyperlink" Target="https://www.google.com/maps/search/?api=1&amp;query=Uruea%20Caf&#233;%20(&#3629;&#3640;&#3619;&#3640;&#3648;&#3629;%20&#3588;&#3634;&#3648;&#3615;&#3656;)&amp;query_place_id=ChIJYdBkWayZ4jARyCQGsj2EXnM" TargetMode="External" Id="rId60"/><Relationship Type="http://schemas.openxmlformats.org/officeDocument/2006/relationships/hyperlink" Target="https://www.google.com/maps/search/?api=1&amp;query=Cino%20(&#3594;&#3636;&#3650;&#3609;&#3656;%20&#3588;&#3634;&#3648;&#3615;&#3656;)&amp;query_place_id=ChIJsZOKY0SY4jAR9YUtLVVi9us" TargetMode="External" Id="rId61"/><Relationship Type="http://schemas.openxmlformats.org/officeDocument/2006/relationships/hyperlink" Target="https://www.google.com/maps/search/?api=1&amp;query=Ni-Ang%20Shaved%20Ice%20Cream%20(&#3609;&#3636;&#3656;&#3591;%20&#3652;&#3629;&#3624;&#3585;&#3619;&#3637;&#3617;&#3652;&#3586;&#3656;&#3649;&#3604;&#3591;)&amp;query_place_id=ChIJmZilkluY4jARrhZbeqVgOqQ" TargetMode="External" Id="rId62"/><Relationship Type="http://schemas.openxmlformats.org/officeDocument/2006/relationships/hyperlink" Target="https://www.google.com/maps/search/?api=1&amp;query=b&#257;ol&#250;&amp;query_place_id=ChIJbxDHe5aZ4jARisr7Zv3inFw" TargetMode="External" Id="rId63"/><Relationship Type="http://schemas.openxmlformats.org/officeDocument/2006/relationships/hyperlink" Target="https://www.google.com/maps/search/?api=1&amp;query=Family%20Bakery&amp;query_place_id=ChIJkSZ-Y1uY4jARBUk3CwCBWZU" TargetMode="External" Id="rId64"/><Relationship Type="http://schemas.openxmlformats.org/officeDocument/2006/relationships/hyperlink" Target="https://www.google.com/maps/search/?api=1&amp;query=Jae%20Keang%20(Banthat%20Thong)&amp;query_place_id=ChIJd0oN2SmZ4jARvT7TiGUmDGs" TargetMode="External" Id="rId65"/><Relationship Type="http://schemas.openxmlformats.org/officeDocument/2006/relationships/hyperlink" Target="https://www.google.com/maps/search/?api=1&amp;query=Pa%20Nee%20Kung%20Chae%20Nam%20Pla%20(&#3611;&#3657;&#3634;&#3609;&#3637;&#3585;&#3640;&#3657;&#3591;&#3649;&#3594;&#3656;&#3609;&#3657;&#3635;&#3611;&#3621;&#3634;)&amp;query_place_id=ChIJicM_KrqZ4jARknIcSUkpVdg" TargetMode="External" Id="rId66"/><Relationship Type="http://schemas.openxmlformats.org/officeDocument/2006/relationships/hyperlink" Target="https://www.google.com/maps/search/?api=1&amp;query=Somboon%20Seafood%20(&#3626;&#3617;&#3610;&#3641;&#3619;&#3603;&#3660;&#3650;&#3616;&#3594;&#3609;&#3634;%20&#3610;&#3619;&#3619;&#3607;&#3633;&#3604;&#3607;&#3629;&#3591;)&amp;query_place_id=ChIJe_8_Ci6Z4jARqgBTNie9XqE" TargetMode="External" Id="rId67"/><Relationship Type="http://schemas.openxmlformats.org/officeDocument/2006/relationships/hyperlink" Target="https://www.google.com/maps/search/?api=1&amp;query=Everyday%20Thai%20Tea%20(Head%20Quarter)&amp;query_place_id=ChIJ3zD-QBaZ4jARgbCPH2kTR3w" TargetMode="External" Id="rId68"/><Relationship Type="http://schemas.openxmlformats.org/officeDocument/2006/relationships/hyperlink" Target="https://www.google.com/maps/search/?api=1&amp;query=TEA%20PEARL&amp;query_place_id=ChIJlZGKHACZ4jARL-eA4Ie6SwI" TargetMode="External" Id="rId69"/><Relationship Type="http://schemas.openxmlformats.org/officeDocument/2006/relationships/hyperlink" Target="https://www.google.com/maps/search/?api=1&amp;query=Nokhook%20House%20Cafe&amp;query_place_id=ChIJ5UstNruZ4jAR8IvFsMS0bH8" TargetMode="External" Id="rId70"/><Relationship Type="http://schemas.openxmlformats.org/officeDocument/2006/relationships/hyperlink" Target="https://www.google.com/maps/search/?api=1&amp;query=Bingbun&amp;query_place_id=ChIJx-0SOgCZ4jARpHRMxuLkE88" TargetMode="External" Id="rId71"/><Relationship Type="http://schemas.openxmlformats.org/officeDocument/2006/relationships/hyperlink" Target="https://www.google.com/maps/search/?api=1&amp;query=Jae%20Wan%20(&#3648;&#3592;&#3658;&#3649;&#3623;&#3609;)&amp;query_place_id=ChIJFzK8PimZ4jARnkqwKGrzLts" TargetMode="External" Id="rId72"/><Relationship Type="http://schemas.openxmlformats.org/officeDocument/2006/relationships/hyperlink" Target="https://www.google.com/maps/search/?api=1&amp;query=&#3649;&#3585;&#3657;&#3623;&#3585;&#3621;&#3657;&#3634;%20&#3586;&#3609;&#3617;&#3627;&#3623;&#3634;&#3609;&#3585;&#3632;&#3607;&#3636;&#3626;&#3604;%20(KK%20Thai%20Dessert)&amp;query_place_id=ChIJ3Zne-SeZ4jARToMmi_3aK_s" TargetMode="External" Id="rId73"/><Relationship Type="http://schemas.openxmlformats.org/officeDocument/2006/relationships/hyperlink" Target="https://www.google.com/maps/search/?api=1&amp;query=HAGOW%20Yaowarat&amp;query_place_id=ChIJg_OawsSZ4jARhar1F01_csQ" TargetMode="External" Id="rId74"/><Relationship Type="http://schemas.openxmlformats.org/officeDocument/2006/relationships/hyperlink" Target="https://www.google.com/maps/search/?api=1&amp;query=Laoteng%20(&#3648;&#3621;&#3656;&#3634;&#3648;&#3605;&#3655;&#3591;)&amp;query_place_id=ChIJJ03QjGOZ4jARdUW-bCQ2u2s" TargetMode="External" Id="rId75"/><Relationship Type="http://schemas.openxmlformats.org/officeDocument/2006/relationships/hyperlink" Target="https://www.google.com/maps/search/?api=1&amp;query=Xie%20Chinatown&amp;query_place_id=ChIJqcfmnCGZ4jARBiLzwaax2hQ" TargetMode="External" Id="rId76"/><Relationship Type="http://schemas.openxmlformats.org/officeDocument/2006/relationships/hyperlink" Target="https://www.google.com/maps/search/?api=1&amp;query=Double%20Dogs%20Tearoom&amp;query_place_id=ChIJH79CmBiZ4jARMdjLCASWygc" TargetMode="External" Id="rId77"/><Relationship Type="http://schemas.openxmlformats.org/officeDocument/2006/relationships/hyperlink" Target="https://www.google.com/maps/search/?api=1&amp;query=Siam%20Heng%20Huat%20Bai%20Cha%20Shop%20(&#3626;&#3618;&#3634;&#3617;&#3648;&#3630;&#3591;&#3630;&#3623;&#3604;)&amp;query_place_id=ChIJCcEDgCGZ4jARv0rIMlI8o8g" TargetMode="External" Id="rId78"/><Relationship Type="http://schemas.openxmlformats.org/officeDocument/2006/relationships/hyperlink" Target="https://www.google.com/maps/search/?api=1&amp;query=THREE%20TEA%20POTS%20by%20Ew%20Kee%20Tea&amp;query_place_id=ChIJt5EP4UqZ4jAR4sUvrUikzSE" TargetMode="External" Id="rId79"/><Relationship Type="http://schemas.openxmlformats.org/officeDocument/2006/relationships/hyperlink" Target="https://www.google.com/maps/search/?api=1&amp;query=Sweettime&amp;query_place_id=ChIJI5IJnSGZ4jAR_BRDFrSbdH0" TargetMode="External" Id="rId80"/><Relationship Type="http://schemas.openxmlformats.org/officeDocument/2006/relationships/hyperlink" Target="https://www.google.com/maps/search/?api=1&amp;query=Ba%20Hao%20Tian%20Mi%20-%20Yaowarat&amp;query_place_id=ChIJ2dYIoeeZ4jARgBOBTWYpMrw" TargetMode="External" Id="rId81"/><Relationship Type="http://schemas.openxmlformats.org/officeDocument/2006/relationships/hyperlink" Target="https://www.google.com/maps/search/?api=1&amp;query=Che%20Muai%20Mi%20Wan%20(&#3648;&#3593;&#3659;&#3634;&#3585;&#3658;&#3623;&#3618;&#3627;&#3617;&#3623;&#3618;&#3617;&#3637;&#3627;&#3623;&#3634;&#3609;)&amp;query_place_id=ChIJ87Kr8yGZ4jARCcnpigaGLP4" TargetMode="External" Id="rId82"/><Relationship Type="http://schemas.openxmlformats.org/officeDocument/2006/relationships/hyperlink" Target="https://www.google.com/maps/search/?api=1&amp;query=Khun%20Aoi's%20Kitchen%20(&#3588;&#3619;&#3633;&#3623;&#3588;&#3640;&#3603;&#3629;&#3657;&#3629;&#3618;)&amp;query_place_id=ChIJIwWhlEmY4jARKlgNkAARFJQ" TargetMode="External" Id="rId83"/><Relationship Type="http://schemas.openxmlformats.org/officeDocument/2006/relationships/hyperlink" Target="https://www.google.com/maps/search/?api=1&amp;query=Baan%20Plern%20Jitt%20(&#3610;&#3657;&#3634;&#3609;&#3648;&#3614;&#3621;&#3636;&#3609;&#3592;&#3636;&#3605;)&amp;query_place_id=ChIJQd2TUOyZ4jAR_5b3Z6wVvzE" TargetMode="External" Id="rId84"/><Relationship Type="http://schemas.openxmlformats.org/officeDocument/2006/relationships/hyperlink" Target="https://www.google.com/maps/search/?api=1&amp;query=Chaai-Samai%202498%20Bangkok&amp;query_place_id=ChIJk4cFjByZ4jAR9rbLbQM3G1c" TargetMode="External" Id="rId85"/><Relationship Type="http://schemas.openxmlformats.org/officeDocument/2006/relationships/hyperlink" Target="https://www.google.com/maps/search/?api=1&amp;query=Baan%20Khlong%20Luang%20Cafe%20Khlongbangluang&amp;query_place_id=ChIJ829BuVyZ4jARomvWRybOhI0" TargetMode="External" Id="rId86"/><Relationship Type="http://schemas.openxmlformats.org/officeDocument/2006/relationships/hyperlink" Target="https://www.google.com/maps/search/?api=1&amp;query=&#3588;&#3634;&#3648;&#3615;&#3656;&#3610;&#3657;&#3634;&#3609;&#3614;&#3638;&#3656;&#3591;&#3624;&#3636;&#3621;&#3611;&#3660;&amp;query_place_id=ChIJdwVRcayZ4jARWYOrvCMw5XM" TargetMode="External" Id="rId87"/><Relationship Type="http://schemas.openxmlformats.org/officeDocument/2006/relationships/hyperlink" Target="https://www.google.com/maps/search/?api=1&amp;query=The%20Artist%20House%20Bangkok%20(&#3588;&#3634;&#3648;&#3615;&#3656;&#3651;&#3609;&#3610;&#3657;&#3634;&#3609;&#3624;&#3636;&#3621;&#3611;&#3636;&#3609;)&amp;query_place_id=ChIJF6uVAzt9HTEROKM0WKZMU7M" TargetMode="External" Id="rId88"/><Relationship Type="http://schemas.openxmlformats.org/officeDocument/2006/relationships/hyperlink" Target="https://www.google.com/maps/search/?api=1&amp;query=&#3586;&#3609;&#3617;&#3648;&#3610;&#3639;&#3657;&#3629;&#3591;&#3649;&#3617;&#3656;&#3649;&#3629;&#3604;%20(&#3588;&#3621;&#3629;&#3591;&#3610;&#3634;&#3591;&#3627;&#3621;&#3623;&#3591;)&amp;query_place_id=ChIJIRC5fQCZ4jARxXARpHOPKzM" TargetMode="External" Id="rId89"/><Relationship Type="http://schemas.openxmlformats.org/officeDocument/2006/relationships/hyperlink" Target="https://www.google.com/maps/search/?api=1&amp;query=&#3648;&#3624;&#3619;&#3625;&#3600;&#3637;&#3609;&#3637;%20&#3586;&#3609;&#3617;&#3652;&#3607;&#3618;%20(Zetinee)&amp;query_place_id=ChIJT9ICBAOZ4jARCo3fwpDrQmw" TargetMode="External" Id="rId90"/><Relationship Type="http://schemas.openxmlformats.org/officeDocument/2006/relationships/hyperlink" Target="https://www.google.com/maps/search/?api=1&amp;query=Meow%20Meow%20Roll%20-%20&#3586;&#3609;&#3617;&#3650;&#3605;&#3648;&#3585;&#3637;&#3618;&#3623;&amp;query_place_id=ChIJ-xFr-ieZ4jAR7Eyiebjcuwc" TargetMode="External" Id="rId91"/><Relationship Type="http://schemas.openxmlformats.org/officeDocument/2006/relationships/hyperlink" Target="https://www.google.com/maps/search/?api=1&amp;query=Nopparat%20Cuisine%20and%20Gallery&amp;query_place_id=ChIJOcegC3KZ4jARcSGQACiRaHw" TargetMode="External" Id="rId92"/><Relationship Type="http://schemas.openxmlformats.org/officeDocument/2006/relationships/hyperlink" Target="https://www.google.com/maps/search/?api=1&amp;query=Arthit%20Noodle%20Club%20|%20&#3585;&#3659;&#3623;&#3618;&#3648;&#3605;&#3637;&#3659;&#3618;&#3623;&#3605;&#3657;&#3617;&#3618;&#3635;&amp;query_place_id=ChIJbRv0f9uZ4jAR9pXEQs6Vc4Y" TargetMode="External" Id="rId93"/><Relationship Type="http://schemas.openxmlformats.org/officeDocument/2006/relationships/hyperlink" Target="https://www.google.com/maps/search/?api=1&amp;query=Botanic%20Backyard%20Bar%20&amp;%20Restaurant&amp;query_place_id=ChIJMwd7y3-Z4jAR6jv3ZlUVEC0" TargetMode="External" Id="rId94"/><Relationship Type="http://schemas.openxmlformats.org/officeDocument/2006/relationships/hyperlink" Target="https://www.google.com/maps/search/?api=1&amp;query=Petit%20Soleil&amp;query_place_id=ChIJO7ptd-OZ4jARRc08spnhUY4" TargetMode="External" Id="rId95"/><Relationship Type="http://schemas.openxmlformats.org/officeDocument/2006/relationships/hyperlink" Target="https://www.google.com/maps/search/?api=1&amp;query=The%20Sourdough%20Club&amp;query_place_id=ChIJlYLfvU6Z4jARmwl8wPMYGCw" TargetMode="External" Id="rId96"/><Relationship Type="http://schemas.openxmlformats.org/officeDocument/2006/relationships/hyperlink" Target="https://www.google.com/maps/search/?api=1&amp;query=Sheepshank%20Public%20House&amp;query_place_id=ChIJSWv0PnKZ4jAR5t3IqO36gUA" TargetMode="External" Id="rId97"/><Relationship Type="http://schemas.openxmlformats.org/officeDocument/2006/relationships/hyperlink" Target="https://www.google.com/maps/search/?api=1&amp;query=Coconut%20Culture%20Bangkok&amp;query_place_id=ChIJtdWsZleZ4jARJHddpcihlco" TargetMode="External" Id="rId98"/><Relationship Type="http://schemas.openxmlformats.org/officeDocument/2006/relationships/hyperlink" Target="https://www.google.com/maps/search/?api=1&amp;query=CIT%20Coconut%20Ice%20Cream&amp;query_place_id=ChIJ39FsRACZ4jARUDpm-30ycuY" TargetMode="External" Id="rId99"/><Relationship Type="http://schemas.openxmlformats.org/officeDocument/2006/relationships/hyperlink" Target="https://www.google.com/maps/search/?api=1&amp;query=&#3619;&#3657;&#3634;&#3609;&#3586;&#3609;&#3617;&#3652;&#3607;&#3618;%20&#3649;&#3617;&#3656;&#3591;&#3634;&#3617;&#3592;&#3636;&#3605;%20&#3610;&#3634;&#3591;&#3621;&#3635;&#3614;&#3641;&amp;query_place_id=ChIJwb40l2yZ4jAR1fitphBOjAU" TargetMode="External" Id="rId100"/><Relationship Type="http://schemas.openxmlformats.org/officeDocument/2006/relationships/hyperlink" Target="https://www.google.com/maps/search/?api=1&amp;query=Pu%20Tie%20Shrimp%20Wonton%20Noodles%20(&#3611;&#3641;&#3605;&#3637;&#3658;%20&#3610;&#3632;&#3627;&#3617;&#3637;&#3656;&#3648;&#3585;&#3637;&#3658;&#3618;&#3623;&#3585;&#3640;&#3657;&#3591;)&amp;query_place_id=ChIJOT6MWs2e4jARBD-fu38Nrho" TargetMode="External" Id="rId101"/><Relationship Type="http://schemas.openxmlformats.org/officeDocument/2006/relationships/hyperlink" Target="https://www.google.com/maps/search/?api=1&amp;query=KrobKun%20(&#3585;&#3619;&#3629;&#3610;&#3588;&#3640;&#3603;)%20&#3594;&#3633;&#3657;&#3609;%202%20BACC&amp;query_place_id=ChIJq5Vg_qyf4jARBngvlHb1nhQ" TargetMode="External" Id="rId102"/><Relationship Type="http://schemas.openxmlformats.org/officeDocument/2006/relationships/hyperlink" Target="https://www.google.com/maps/search/?api=1&amp;query=Le%20Pla%20Daak%20(&#3648;&#3621;&#3629;&#3611;&#3621;&#3634;&#3649;&#3604;&#3585;)%20&#3594;&#3633;&#3657;&#3609;%204%20BACC&amp;query_place_id=ChIJx5kHh42f4jARhsqSPkVXyi8" TargetMode="External" Id="rId103"/><Relationship Type="http://schemas.openxmlformats.org/officeDocument/2006/relationships/hyperlink" Target="https://www.google.com/maps/search/?api=1&amp;query=Gallery%20Drip%20Coffee&amp;query_place_id=ChIJ6e7hT82e4jAR4HgD4RW37Tk" TargetMode="External" Id="rId104"/><Relationship Type="http://schemas.openxmlformats.org/officeDocument/2006/relationships/hyperlink" Target="https://www.google.com/maps/search/?api=1&amp;query=Booms%20(&#3594;&#3633;&#3657;&#3609;%203%20BACC)&amp;query_place_id=ChIJvVfRke6Z4jARtfVQBDEcrGs" TargetMode="External" Id="rId105"/><Relationship Type="http://schemas.openxmlformats.org/officeDocument/2006/relationships/hyperlink" Target="https://www.google.com/maps/search/?api=1&amp;query=LIBI%20HOME&amp;query_place_id=ChIJtbPNdyeZ4jAREEaHyqnCwQQ" TargetMode="External" Id="rId106"/><Relationship Type="http://schemas.openxmlformats.org/officeDocument/2006/relationships/hyperlink" Target="https://www.google.com/maps/search/?api=1&amp;query=kanomsiam%20Siam%20Paragon%20(&#3586;&#3609;&#3617;&#3626;&#3618;&#3634;&#3617;)&amp;query_place_id=ChIJ7c1QQqOZ4jARG6a6kPo38oo" TargetMode="External" Id="rId107"/><Relationship Type="http://schemas.openxmlformats.org/officeDocument/2006/relationships/hyperlink" Target="https://www.google.com/maps/search/?api=1&amp;query=Mil%20Toast%20House%20-%20Siam%20Square%20Soi%203&amp;query_place_id=ChIJxwnzCJKf4jARR8hWRCoTGvI" TargetMode="External" Id="rId108"/><Relationship Type="http://schemas.openxmlformats.org/officeDocument/2006/relationships/hyperlink" Target="https://www.google.com/maps/search/?api=1&amp;query=Siam%20Pandan&amp;query_place_id=ChIJ0xX1UNKe4jAR-WZptZL_-uk" TargetMode="External" Id="rId109"/><Relationship Type="http://schemas.openxmlformats.org/officeDocument/2006/relationships/hyperlink" Target="https://www.google.com/maps/search/?api=1&amp;query=Sirimahannop%20(&#3624;&#3636;&#3619;&#3636;&#3617;&#3627;&#3634;&#3609;&#3614;)&amp;query_place_id=ChIJNxVoORuf4jARgnrw6F9dzdc" TargetMode="External" Id="rId110"/><Relationship Type="http://schemas.openxmlformats.org/officeDocument/2006/relationships/hyperlink" Target="https://www.google.com/maps/search/?api=1&amp;query=Sail%20To%20The%20Moon%20By%20Nakorn&amp;query_place_id=ChIJHQAgyI2j4jARReexfH3uHeI" TargetMode="External" Id="rId111"/><Relationship Type="http://schemas.openxmlformats.org/officeDocument/2006/relationships/hyperlink" Target="https://www.google.com/maps/search/?api=1&amp;query=Happy%20Fish%20(&#3650;&#3585;&#3604;&#3633;&#3591;%208)&amp;query_place_id=ChIJZS6MApeY4jARB4mNKlFwgaI" TargetMode="External" Id="rId112"/><Relationship Type="http://schemas.openxmlformats.org/officeDocument/2006/relationships/hyperlink" Target="https://www.google.com/maps/search/?api=1&amp;query=Asiatique%20Ancient%20Tea%20House&amp;query_place_id=ChIJI1DGO3iZ4jARyhWXLVWyHog" TargetMode="External" Id="rId113"/><Relationship Type="http://schemas.openxmlformats.org/officeDocument/2006/relationships/hyperlink" Target="https://www.google.com/maps/search/?api=1&amp;query=La%20Fiore%20Cafe%20Asiatique&amp;query_place_id=ChIJP0Ls1z-Z4jARIa6TS6sI4Dk" TargetMode="External" Id="rId114"/><Relationship Type="http://schemas.openxmlformats.org/officeDocument/2006/relationships/hyperlink" Target="https://www.google.com/maps/search/?api=1&amp;query=Starbucks%20@%20Asiatique%20The%20Riverfront&amp;query_place_id=ChIJc8lMcQCZ4jARBg4bOgSFdtA" TargetMode="External" Id="rId115"/><Relationship Type="http://schemas.openxmlformats.org/officeDocument/2006/relationships/hyperlink" Target="https://www.google.com/maps/search/?api=1&amp;query=After%20You%20Dessert%20Cafe%20-%20Asiatique&amp;query_place_id=ChIJl_bB-6-Z4jARKQxbLdvEpTQ" TargetMode="External" Id="rId116"/><Relationship Type="http://schemas.openxmlformats.org/officeDocument/2006/relationships/hyperlink" Target="https://www.google.com/maps/search/?api=1&amp;query=Swensen's%20Asiatique%20River%20Front&amp;query_place_id=ChIJk-H5AJeY4jARfbqXye_X0u8" TargetMode="External" Id="rId117"/><Relationship Type="http://schemas.openxmlformats.org/officeDocument/2006/relationships/hyperlink" Target="https://www.google.com/maps/search/?api=1&amp;query=Make%20Me%20Mango%20Asiatique&amp;query_place_id=ChIJJToG_Lae4jARyGfWLIaA7Xs" TargetMode="External" Id="rId118"/><Relationship Type="http://schemas.openxmlformats.org/officeDocument/2006/relationships/hyperlink" Target="https://www.google.com/maps/search/?api=1&amp;query=The%20Gardens%20of%20Dinsor%20Palace&amp;query_place_id=ChIJ947tbq-f4jARmqxnBY9oxv4" TargetMode="External" Id="rId119"/><Relationship Type="http://schemas.openxmlformats.org/officeDocument/2006/relationships/hyperlink" Target="https://www.google.com/maps/search/?api=1&amp;query=Pastalicious,%20Fresh%20Pasta%20&amp;%20Steaks&amp;query_place_id=ChIJn5GjYaCf4jARPXfCMkM2LP0" TargetMode="External" Id="rId120"/><Relationship Type="http://schemas.openxmlformats.org/officeDocument/2006/relationships/hyperlink" Target="https://www.google.com/maps/search/?api=1&amp;query=SOUSAKU%20Sukhumvit%2042&amp;query_place_id=ChIJT7QoxNuf4jAR9_JfRRGfphE" TargetMode="External" Id="rId121"/><Relationship Type="http://schemas.openxmlformats.org/officeDocument/2006/relationships/hyperlink" Target="https://www.google.com/maps/search/?api=1&amp;query=COS%20Cup%20of%20Sensory%20Cafe&amp;query_place_id=ChIJ10vI9R2f4jARhWtV_3zSYSk" TargetMode="External" Id="rId122"/><Relationship Type="http://schemas.openxmlformats.org/officeDocument/2006/relationships/hyperlink" Target="https://www.google.com/maps/search/?api=1&amp;query=A%20KEEN%20HOUSE&amp;query_place_id=ChIJS1-3ni6f4jARAS9TqmgpsLM" TargetMode="External" Id="rId123"/><Relationship Type="http://schemas.openxmlformats.org/officeDocument/2006/relationships/hyperlink" Target="https://www.google.com/maps/search/?api=1&amp;query=Folk%20Lane%20by%20Toby's%20Sukhumvit%2038&amp;query_place_id=ChIJ8WhXGqaf4jARcV1ZdA6vAGM" TargetMode="External" Id="rId124"/><Relationship Type="http://schemas.openxmlformats.org/officeDocument/2006/relationships/hyperlink" Target="https://www.google.com/maps/search/?api=1&amp;query=&#3609;&#3657;&#3629;&#3591;&#3649;&#3629;&#3657;&#3617;%20&#3586;&#3609;&#3617;&#3627;&#3623;&#3634;&#3609;%20&#3595;&#3629;&#3618;%2038&amp;query_place_id=ChIJDSFb56if4jARW_JZU5zoLR4" TargetMode="External" Id="rId125"/><Relationship Type="http://schemas.openxmlformats.org/officeDocument/2006/relationships/hyperlink" Target="https://www.google.com/maps/search/?api=1&amp;query=Nicolo%20Bakery%20Sukhumvit%2042&amp;query_place_id=ChIJFSm9rMCf4jAR5FJeZ0gFIXQ" TargetMode="External" Id="rId126"/><Relationship Type="http://schemas.openxmlformats.org/officeDocument/2006/relationships/hyperlink" Target="https://www.google.com/maps/search/?api=1&amp;query=MiKA%20Bakehouse%20&amp;%20Coffee%20-%20Ekkamai&amp;query_place_id=ChIJG_462byf4jARUl71r_65amw" TargetMode="External" Id="rId127"/><Relationship Type="http://schemas.openxmlformats.org/officeDocument/2006/relationships/hyperlink" Target="https://www.google.com/maps/search/?api=1&amp;query=Krua%20Nai%20Suan%20(&#3588;&#3619;&#3633;&#3623;&#3651;&#3609;&#3626;&#3623;&#3609;)%20&#3626;&#3623;&#3609;&#3619;&#3606;&#3652;&#3615;&amp;query_place_id=ChIJV1rnpl2c4jARyPXKBBAlWlA" TargetMode="External" Id="rId128"/><Relationship Type="http://schemas.openxmlformats.org/officeDocument/2006/relationships/hyperlink" Target="https://www.google.com/maps/search/?api=1&amp;query=Thitaree&amp;query_place_id=ChIJi6lebF2c4jARktKBDI99zQA" TargetMode="External" Id="rId129"/><Relationship Type="http://schemas.openxmlformats.org/officeDocument/2006/relationships/hyperlink" Target="https://www.google.com/maps/search/?api=1&amp;query=TALES%20ME%20MORE&amp;query_place_id=ChIJP43UUlyc4jAR7vOhOeBngB8" TargetMode="External" Id="rId130"/><Relationship Type="http://schemas.openxmlformats.org/officeDocument/2006/relationships/hyperlink" Target="https://www.google.com/maps/search/?api=1&amp;query=HEY!%20Beanstro%20(Oasis)&amp;query_place_id=ChIJS05aNayd4jARo_eN8wMGhjM" TargetMode="External" Id="rId131"/><Relationship Type="http://schemas.openxmlformats.org/officeDocument/2006/relationships/hyperlink" Target="https://www.google.com/maps/search/?api=1&amp;query=Narisa%20Cafe%20&amp;%20Creative%20Space&amp;query_place_id=ChIJu9WLOA2d4jARbdmUI1KdnFk" TargetMode="External" Id="rId132"/><Relationship Type="http://schemas.openxmlformats.org/officeDocument/2006/relationships/hyperlink" Target="https://www.google.com/maps/search/?api=1&amp;query=Daisycafebkk%202nd%20floor%20cafe%20&amp;%20bake%20house&amp;query_place_id=ChIJv-hmh3Sd4jARWpoYBlCmw3c" TargetMode="External" Id="rId133"/><Relationship Type="http://schemas.openxmlformats.org/officeDocument/2006/relationships/hyperlink" Target="https://www.google.com/maps/search/?api=1&amp;query=Krua%20Thip%20Kanom%20Thai%20(&#3588;&#3619;&#3633;&#3623;&#3607;&#3636;&#3614;&#3618;&#3660;&#3586;&#3609;&#3617;&#3652;&#3607;&#3618;)&amp;query_place_id=ChIJyz_XXkWc4jARLVTuJr2atoM" TargetMode="External" Id="rId134"/><Relationship Type="http://schemas.openxmlformats.org/officeDocument/2006/relationships/hyperlink" Target="https://www.google.com/maps/search/?api=1&amp;query=Bowcake%20&#3650;&#3610;&#3623;&#3660;&#3648;&#3588;&#3657;&#3585;%20&#3648;&#3595;&#3655;&#3609;&#3607;&#3619;&#3633;&#3621;&#3621;&#3634;&#3604;&#3614;&#3619;&#3657;&#3634;&#3623;&amp;query_place_id=ChIJPQz_AX2d4jART00Xk3W7vHM" TargetMode="External" Id="rId135"/><Relationship Type="http://schemas.openxmlformats.org/officeDocument/2006/relationships/hyperlink" Target="https://www.google.com/maps/search/?api=1&amp;query=butter%20bakery%20ladprao18&amp;query_place_id=ChIJgxZH79-d4jARdL5BQd0W0eM" TargetMode="External" Id="rId136"/><Relationship Type="http://schemas.openxmlformats.org/officeDocument/2006/relationships/hyperlink" Target="https://www.google.com/maps/search/?api=1&amp;query=Zaab%20Kak%20Kak&amp;query_place_id=ChIJdyUydBWf4jAR5uHs1qUPVDg" TargetMode="External" Id="rId137"/><Relationship Type="http://schemas.openxmlformats.org/officeDocument/2006/relationships/hyperlink" Target="https://www.google.com/maps/search/?api=1&amp;query=PEPE%20Bangkok&amp;query_place_id=ChIJIUHmOe2f4jAR2l7P6OOm4hg" TargetMode="External" Id="rId138"/><Relationship Type="http://schemas.openxmlformats.org/officeDocument/2006/relationships/hyperlink" Target="https://www.google.com/maps/search/?api=1&amp;query=VIVIN%20Suk%2022%20-%20caf&#233;%20grocery%20bistro&amp;query_place_id=ChIJeeysUW-f4jARY3X5V-UWCpY" TargetMode="External" Id="rId139"/><Relationship Type="http://schemas.openxmlformats.org/officeDocument/2006/relationships/hyperlink" Target="https://www.google.com/maps/search/?api=1&amp;query=Lazy%20Daisy%20Brunch%20and%20Bar&amp;query_place_id=ChIJoxNMYVef4jARlJwkRLW0B5c" TargetMode="External" Id="rId140"/><Relationship Type="http://schemas.openxmlformats.org/officeDocument/2006/relationships/hyperlink" Target="https://www.google.com/maps/search/?api=1&amp;query=Bru%20Cafe&amp;query_place_id=ChIJ-9u6LsSf4jARbeQtKXGDs0A" TargetMode="External" Id="rId141"/><Relationship Type="http://schemas.openxmlformats.org/officeDocument/2006/relationships/hyperlink" Target="https://www.google.com/maps/search/?api=1&amp;query=Greydient%20&amp;%20Them%20-%20coffee%20cafe%20space&amp;query_place_id=ChIJDRLVJwCf4jAR0Ot8NsNbOa8" TargetMode="External" Id="rId142"/><Relationship Type="http://schemas.openxmlformats.org/officeDocument/2006/relationships/hyperlink" Target="https://www.google.com/maps/search/?api=1&amp;query=Rintaro%20(Emsphere%20G)&amp;query_place_id=ChIJTffLINKf4jARnwxAuG6p0lM" TargetMode="External" Id="rId143"/><Relationship Type="http://schemas.openxmlformats.org/officeDocument/2006/relationships/hyperlink" Target="https://www.google.com/maps/search/?api=1&amp;query=&#3652;&#3629;&#3605;&#3636;&#3617;&#3585;&#3632;&#3607;&#3636;%20&#3648;&#3617;&#3639;&#3629;&#3591;&#3585;&#3619;&#3640;&#3591;%20Mueng%20Krung%20Coconut%20Icecream%20(Terminal%2021)&amp;query_place_id=ChIJv3VwJXSf4jARP81DD3Ian_8" TargetMode="External" Id="rId144"/><Relationship Type="http://schemas.openxmlformats.org/officeDocument/2006/relationships/hyperlink" Target="https://www.google.com/maps/search/?api=1&amp;query=Gelato%20&amp;%20Co%20Autentica%20Ricetta%20Italiana&amp;query_place_id=ChIJMZRb-NOf4jARXrQz_rKnSow" TargetMode="External" Id="rId145"/><Relationship Type="http://schemas.openxmlformats.org/officeDocument/2006/relationships/hyperlink" Target="https://www.google.com/maps/search/?api=1&amp;query=&#3623;&#3633;&#3609;&#3623;&#3636;&#3609;%20&#3610;&#3632;&#3627;&#3617;&#3637;&#3656;&#3611;&#3641;%20ONEWIN%20CRAB%20NOODLES&amp;query_place_id=ChIJc_7gsZWd4jARFn4gx5gOp-0" TargetMode="External" Id="rId146"/><Relationship Type="http://schemas.openxmlformats.org/officeDocument/2006/relationships/hyperlink" Target="https://www.google.com/maps/search/?api=1&amp;query=&#3585;&#3659;&#3623;&#3618;&#3648;&#3605;&#3637;&#3659;&#3618;&#3623;&#3627;&#3617;&#3641;&#3626;&#3609;&#3633;&#3656;&#3609;%20(&#3626;&#3641;&#3605;&#3619;&#3612;&#3641;&#3657;&#3614;&#3633;&#3609;&#3648;&#3611;&#3657;&#3591;)%20&#3627;&#3621;&#3633;&#3591;&#3605;&#3621;&#3634;&#3604;%20&#3629;.&#3605;.&#3585;.&amp;query_place_id=ChIJyZeU6ZCd4jAR-dFDYsfWLxY" TargetMode="External" Id="rId147"/><Relationship Type="http://schemas.openxmlformats.org/officeDocument/2006/relationships/hyperlink" Target="https://www.google.com/maps/search/?api=1&amp;query=LARDER%20Chatuchak&amp;query_place_id=ChIJPXkelled4jARSc3rqUFfrYI" TargetMode="External" Id="rId148"/><Relationship Type="http://schemas.openxmlformats.org/officeDocument/2006/relationships/hyperlink" Target="https://www.google.com/maps/search/?api=1&amp;query=Dusha%20Cafe%20(Chatuchak%20Mixt)&amp;query_place_id=ChIJtUQkVjKd4jAR2b9jlAmSKdQ" TargetMode="External" Id="rId149"/><Relationship Type="http://schemas.openxmlformats.org/officeDocument/2006/relationships/hyperlink" Target="https://www.google.com/maps/search/?api=1&amp;query=Caf&#233;%20myst&#232;re%20&#3588;&#3634;&#3648;&#3615;&#3656;&#3617;&#3636;&#3626;&#3649;&#3605;&#3619;&#3660;&amp;query_place_id=ChIJxdlKHpOd4jAREYNZpzh9udo" TargetMode="External" Id="rId150"/><Relationship Type="http://schemas.openxmlformats.org/officeDocument/2006/relationships/hyperlink" Target="https://www.google.com/maps/search/?api=1&amp;query=TRAVELLER%20The%20Coffee%20Shop&amp;query_place_id=ChIJSTyov--d4jARAIj_Zg7hubk" TargetMode="External" Id="rId151"/><Relationship Type="http://schemas.openxmlformats.org/officeDocument/2006/relationships/hyperlink" Target="https://www.google.com/maps/search/?api=1&amp;query=Heart%20Rock%20CoConut%20Ice%20cream&amp;query_place_id=ChIJo96cuPOd4jARLtWjUtP1Ec4" TargetMode="External" Id="rId152"/><Relationship Type="http://schemas.openxmlformats.org/officeDocument/2006/relationships/hyperlink" Target="https://www.google.com/maps/search/?api=1&amp;query=Coconut%20Ice%20Cream%20Chatuchak&amp;query_place_id=ChIJw3rEYBWc4jARovBwcCEAYg8" TargetMode="External" Id="rId153"/><Relationship Type="http://schemas.openxmlformats.org/officeDocument/2006/relationships/hyperlink" Target="https://www.google.com/maps/search/?api=1&amp;query=Swensen's%20Mixt%20Chatuchak&amp;query_place_id=ChIJw4cHbwCd4jARNo-5tj8cDeE" TargetMode="External" Id="rId154"/><Relationship Type="http://schemas.openxmlformats.org/officeDocument/2006/relationships/hyperlink" Target="https://www.google.com/maps/search/?api=1&amp;query=Kaneko%20Hannosuke%20Siam%20Paragon&amp;query_place_id=ChIJjdP6OTyf4jARimhHXNzD-Nw" TargetMode="External" Id="rId155"/><Relationship Type="http://schemas.openxmlformats.org/officeDocument/2006/relationships/hyperlink" Target="https://www.google.com/maps/search/?api=1&amp;query=Sot%20Siam%20Paragon%20-%20Korean%20Pot%20Rice&amp;query_place_id=ChIJR8JsZ7Gf4jARsMFdVqqbpSI" TargetMode="External" Id="rId156"/><Relationship Type="http://schemas.openxmlformats.org/officeDocument/2006/relationships/hyperlink" Target="https://www.google.com/maps/search/?api=1&amp;query=MAGURO%20Kappou%20&#3626;&#3634;&#3586;&#3634;%20Siam%20Paragon&amp;query_place_id=ChIJ-e7PJwCf4jARb2x7TYmSFn0" TargetMode="External" Id="rId157"/><Relationship Type="http://schemas.openxmlformats.org/officeDocument/2006/relationships/hyperlink" Target="https://www.google.com/maps/search/?api=1&amp;query=Bacha%20Coffee%20Siam%20Paragon&amp;query_place_id=ChIJuSKxXgCf4jAR-_vdS8kcUXA" TargetMode="External" Id="rId158"/><Relationship Type="http://schemas.openxmlformats.org/officeDocument/2006/relationships/hyperlink" Target="https://www.google.com/maps/search/?api=1&amp;query=The%20Summer%20Coffee%20Siam%20Paragon&amp;query_place_id=ChIJEfw6CQCf4jARFu-A7izcm2w" TargetMode="External" Id="rId159"/><Relationship Type="http://schemas.openxmlformats.org/officeDocument/2006/relationships/hyperlink" Target="https://www.google.com/maps/search/?api=1&amp;query=Karun%20Thai%20Tea%20Siam%20Paragon&amp;query_place_id=ChIJI9x17Omf4jARDqrBnFQoX5w" TargetMode="External" Id="rId160"/><Relationship Type="http://schemas.openxmlformats.org/officeDocument/2006/relationships/hyperlink" Target="https://www.google.com/maps/search/?api=1&amp;query=Luscious%20Creamery%20Siam%20Paragon&amp;query_place_id=ChIJOTbgFaCf4jAR7kIzCLDVcN8" TargetMode="External" Id="rId161"/><Relationship Type="http://schemas.openxmlformats.org/officeDocument/2006/relationships/hyperlink" Target="https://www.google.com/maps/search/?api=1&amp;query=&#3586;&#3609;&#3617;&#3652;&#3607;&#3618;%20&#3627;&#3618;&#3585;&#3626;&#3604;%20&#3651;&#3610;&#3648;&#3605;&#3618;&#3649;&#3607;&#3657;%20100%%20-%20Siam%20Paragon&amp;query_place_id=ChIJUYtlbzyf4jAR7COgQ6vymRE" TargetMode="External" Id="rId162"/><Relationship Type="http://schemas.openxmlformats.org/officeDocument/2006/relationships/hyperlink" Target="https://www.google.com/maps/search/?api=1&amp;query=Pang%20Cha%20Cafe%20Siam%20Paragon&amp;query_place_id=ChIJpcosguSZ4jARk4ksUBZuelo" TargetMode="External" Id="rId163"/><Relationship Type="http://schemas.openxmlformats.org/officeDocument/2006/relationships/hyperlink" Target="https://www.google.com/maps/search/?api=1&amp;query=KJP%20-%20KHAO%20JAAN%20PROD%20(ICONSIAM)&amp;query_place_id=ChIJjzv-dPKZ4jARCp1aouyBpE8" TargetMode="External" Id="rId164"/><Relationship Type="http://schemas.openxmlformats.org/officeDocument/2006/relationships/hyperlink" Target="https://www.google.com/maps/search/?api=1&amp;query=Bread%20Street%20Kitchen%20&amp;%20Bar%20-%20ICONSIAM&amp;query_place_id=ChIJf5HPKgCZ4jARFwKPTrMCfsw" TargetMode="External" Id="rId165"/><Relationship Type="http://schemas.openxmlformats.org/officeDocument/2006/relationships/hyperlink" Target="https://www.google.com/maps/search/?api=1&amp;query=Tonkatsu%20AOKI%20@ICONSIAM&amp;query_place_id=ChIJnfb7n3-Z4jARskUzQn4aM7w" TargetMode="External" Id="rId166"/><Relationship Type="http://schemas.openxmlformats.org/officeDocument/2006/relationships/hyperlink" Target="https://www.google.com/maps/search/?api=1&amp;query=Bacha%20Coffee%20ICONSIAM&amp;query_place_id=ChIJfQiAmQuZ4jARG4upB3CnuHs" TargetMode="External" Id="rId167"/><Relationship Type="http://schemas.openxmlformats.org/officeDocument/2006/relationships/hyperlink" Target="https://www.google.com/maps/search/?api=1&amp;query=BEANS%20Coffee%20Roaster%20Iconsiam&amp;query_place_id=ChIJr9e7GwCZ4jARW8RMPkC8O_8" TargetMode="External" Id="rId168"/><Relationship Type="http://schemas.openxmlformats.org/officeDocument/2006/relationships/hyperlink" Target="https://www.google.com/maps/search/?api=1&amp;query=SUPER%20MATCHA,%20ICONSIAM&amp;query_place_id=ChIJWbSr14OZ4jARWFStrxn_4vk" TargetMode="External" Id="rId169"/><Relationship Type="http://schemas.openxmlformats.org/officeDocument/2006/relationships/hyperlink" Target="https://www.google.com/maps/search/?api=1&amp;query=Pang%20Cha%20(ICONSIAM)&amp;query_place_id=ChIJS5fE3mSZ4jARvDuAQM91lJ4" TargetMode="External" Id="rId170"/><Relationship Type="http://schemas.openxmlformats.org/officeDocument/2006/relationships/hyperlink" Target="https://www.google.com/maps/search/?api=1&amp;query=Blendies%20ICONSIAM&amp;query_place_id=ChIJhw6JOgCZ4jARlH9MIGH7vvc" TargetMode="External" Id="rId171"/><Relationship Type="http://schemas.openxmlformats.org/officeDocument/2006/relationships/hyperlink" Target="https://www.google.com/maps/search/?api=1&amp;query=Chamin%20Cookies%20&amp;%20Gelato%20-%20ICONSIAM&amp;query_place_id=ChIJ8UUwugyZ4jARGNjrh6ZjoPo" TargetMode="External" Id="rId172"/><Relationship Type="http://schemas.openxmlformats.org/officeDocument/2006/relationships/hyperlink" Target="https://www.google.com/maps/search/?api=1&amp;query=&#3626;&#3634;&#3617;&#3648;&#3623;&#3621;&#3634;%20&#3626;&#3623;&#3609;&#3626;&#3618;&#3634;&#3617;%20&#3595;&#3629;&#3618;%2011&amp;query_place_id=ChIJE9uBwv1jHTER8_5buwDwWHs" TargetMode="External" Id="rId173"/><Relationship Type="http://schemas.openxmlformats.org/officeDocument/2006/relationships/hyperlink" Target="https://www.google.com/maps/search/?api=1&amp;query=&#3629;&#3637;&#3626;&#3634;&#3609;&#3610;&#3657;&#3634;&#3609;&#3648;&#3630;&#3634;%20&#3619;&#3657;&#3634;&#3609;&#3621;&#3634;&#3610;&#3629;&#3640;&#3610;&#3621;%20&#3605;&#3621;&#3634;&#3604;&#3626;&#3623;&#3609;&#3626;&#3618;&#3634;&#3617;&amp;query_place_id=ChIJ_-2l4DVjHTERLl5lhoRTCpI" TargetMode="External" Id="rId174"/><Relationship Type="http://schemas.openxmlformats.org/officeDocument/2006/relationships/hyperlink" Target="https://www.google.com/maps/search/?api=1&amp;query=&#3586;&#3657;&#3634;&#3623;&#3605;&#3657;&#3617;&#3610;&#3634;&#3607;&#3648;&#3604;&#3637;&#3618;&#3623;&amp;query_place_id=ChIJHfN-m5ZjHTERV2CZHsShc6Y" TargetMode="External" Id="rId175"/><Relationship Type="http://schemas.openxmlformats.org/officeDocument/2006/relationships/hyperlink" Target="https://www.google.com/maps/search/?api=1&amp;query=deed%20caffe%20-%20Coffee%20&amp;%20Roaster&amp;query_place_id=ChIJy8gKBF5jHTERXSlLPo9tn-Y" TargetMode="External" Id="rId176"/><Relationship Type="http://schemas.openxmlformats.org/officeDocument/2006/relationships/hyperlink" Target="https://www.google.com/maps/search/?api=1&amp;query=Caf&#233;%20Amazon%20&#3626;&#3634;&#3586;&#3634;&#3626;&#3623;&#3609;&#3626;&#3618;&#3634;&#3617;%20(SD3967)&amp;query_place_id=ChIJ8f9UwMFjHTERh5tg75kjz0w" TargetMode="External" Id="rId177"/><Relationship Type="http://schemas.openxmlformats.org/officeDocument/2006/relationships/hyperlink" Target="https://www.google.com/maps/search/?api=1&amp;query=Hob%20&amp;%20Coff%20cafe%20and%20social%20bar&amp;query_place_id=ChIJ1fzWSZRjHTERuT7w-8AlgJ0" TargetMode="External" Id="rId178"/><Relationship Type="http://schemas.openxmlformats.org/officeDocument/2006/relationships/hyperlink" Target="https://www.google.com/maps/search/?api=1&amp;query=TOKYO%20JAMMOM&amp;query_place_id=ChIJpfLDOERE-CkR9hxENA-Jewc" TargetMode="External" Id="rId179"/><Relationship Type="http://schemas.openxmlformats.org/officeDocument/2006/relationships/hyperlink" Target="https://www.google.com/maps/search/?api=1&amp;query=&#3609;&#3640;&#3657;&#3618;&#3609;&#3617;&#3626;&#3604;%20&#3648;&#3588;&#3619;&#3611;&#3648;&#3592;&#3658;&#3648;&#3614;&#3636;&#3656;&#3617;&amp;query_place_id=ChIJCw0WjJhjHTERfWJvwcBDSS0" TargetMode="External" Id="rId180"/><Relationship Type="http://schemas.openxmlformats.org/officeDocument/2006/relationships/hyperlink" Target="https://www.google.com/maps/search/?api=1&amp;query=&#3610;&#3657;&#3634;&#3609;&#3586;&#3609;&#3617;&#3652;&#3607;&#3618;&#3626;&#3618;&#3634;&#3617;&amp;query_place_id=ChIJMecgLgBjHTERoQn0TlQeVkg" TargetMode="External" Id="rId181"/><Relationship Type="http://schemas.openxmlformats.org/officeDocument/2006/relationships/hyperlink" Target="https://www.google.com/maps/search/?api=1&amp;query=&#3616;&#3641;%20Kitchen%20&#3626;&#3623;&#3609;&#3629;&#3634;&#3627;&#3634;&#3619;&#3619;&#3636;&#3617;&#3649;&#3617;&#3656;&#3609;&#3657;&#3635;&#3648;&#3592;&#3657;&#3634;&#3614;&#3619;&#3632;&#3618;&#3634;&amp;query_place_id=ChIJKVkAhJiZ4jARNoCJrCQPoIw" TargetMode="External" Id="rId182"/><Relationship Type="http://schemas.openxmlformats.org/officeDocument/2006/relationships/hyperlink" Target="https://www.google.com/maps/search/?api=1&amp;query=NAGIYA%20Yodpiman%20Riverwalk&amp;query_place_id=ChIJXYKPQjuZ4jARL5W1S-jf9-E" TargetMode="External" Id="rId183"/><Relationship Type="http://schemas.openxmlformats.org/officeDocument/2006/relationships/hyperlink" Target="https://www.google.com/maps/search/?api=1&amp;query=BBQ%20RoofTop%20River%20View&amp;query_place_id=ChIJPWb36AyZ4jAR98-qaNJ4giA" TargetMode="External" Id="rId184"/><Relationship Type="http://schemas.openxmlformats.org/officeDocument/2006/relationships/hyperlink" Target="https://www.google.com/maps/search/?api=1&amp;query=5%20a.m.&amp;query_place_id=ChIJN2VoTo6Z4jARGJKu76SI8dE" TargetMode="External" Id="rId185"/><Relationship Type="http://schemas.openxmlformats.org/officeDocument/2006/relationships/hyperlink" Target="https://www.google.com/maps/search/?api=1&amp;query=Floral%20Caf&#233;%20at%20Napasorn&amp;query_place_id=ChIJr0_8WhuZ4jARkLSG8nhL7n8" TargetMode="External" Id="rId186"/><Relationship Type="http://schemas.openxmlformats.org/officeDocument/2006/relationships/hyperlink" Target="https://www.google.com/maps/search/?api=1&amp;query=Farm%20to%20Table,%20Organic%20Cafe&amp;query_place_id=ChIJQ5mJMxuZ4jARTE2Xh-_eRhU" TargetMode="External" Id="rId187"/><Relationship Type="http://schemas.openxmlformats.org/officeDocument/2006/relationships/hyperlink" Target="https://www.google.com/maps/search/?api=1&amp;query=FARM%20to%20TABLE,%20Hideout&amp;query_place_id=ChIJHS2FAO6Z4jARqhV0fzk_yhI" TargetMode="External" Id="rId188"/><Relationship Type="http://schemas.openxmlformats.org/officeDocument/2006/relationships/hyperlink" Target="https://www.google.com/maps/search/?api=1&amp;query=Yai%20Thum%20Hai%20Laan%20Kai&amp;query_place_id=ChIJCRFd5AyZ4jAROqVIK-MGKJo" TargetMode="External" Id="rId189"/><Relationship Type="http://schemas.openxmlformats.org/officeDocument/2006/relationships/hyperlink" Target="https://www.google.com/maps/search/?api=1&amp;query=Mi%20Thai%20Dessert&amp;query_place_id=ChIJg4vvVgCZ4jARZMzIP6_hBP0" TargetMode="External" Id="rId19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search/?api=1&amp;query_place_id=ChIJpYfHXaef4jARpiefh3BHf1k" TargetMode="External" Id="rId1"/><Relationship Type="http://schemas.openxmlformats.org/officeDocument/2006/relationships/hyperlink" Target="https://www.google.com/maps/search/?api=1&amp;query_place_id=ChIJL_Skva2Z4jARptt0z0enAIM" TargetMode="External" Id="rId2"/><Relationship Type="http://schemas.openxmlformats.org/officeDocument/2006/relationships/hyperlink" Target="https://www.google.com/maps/search/?api=1&amp;query_place_id=ChIJtzsv7T2Z4jAR2fSNVxk9_Jc" TargetMode="External" Id="rId3"/><Relationship Type="http://schemas.openxmlformats.org/officeDocument/2006/relationships/hyperlink" Target="https://www.google.com/maps/search/?api=1&amp;query_place_id=ChIJ_9mRbwqZ4jAR5qjatMOK910" TargetMode="External" Id="rId4"/><Relationship Type="http://schemas.openxmlformats.org/officeDocument/2006/relationships/hyperlink" Target="https://www.google.com/maps/search/?api=1&amp;query_place_id=ChIJpY1mWCaf4jARIHPxN0HALGc" TargetMode="External" Id="rId5"/><Relationship Type="http://schemas.openxmlformats.org/officeDocument/2006/relationships/hyperlink" Target="https://www.google.com/maps/search/?api=1&amp;query_place_id=ChIJ54yK4R2f4jARqeeHInvT16Y" TargetMode="External" Id="rId6"/><Relationship Type="http://schemas.openxmlformats.org/officeDocument/2006/relationships/hyperlink" Target="https://www.google.com/maps/search/?api=1&amp;query_place_id=ChIJsbfRmjGZ4jARcKFHjhSe1ls" TargetMode="External" Id="rId7"/><Relationship Type="http://schemas.openxmlformats.org/officeDocument/2006/relationships/hyperlink" Target="https://www.google.com/maps/search/?api=1&amp;query_place_id=ChIJa2em1dGY4jARkD433irtHU8" TargetMode="External" Id="rId8"/><Relationship Type="http://schemas.openxmlformats.org/officeDocument/2006/relationships/hyperlink" Target="https://www.google.com/maps/search/?api=1&amp;query_place_id=ChIJr9hEAyyf4jARq1DOwvgEalo" TargetMode="External" Id="rId9"/><Relationship Type="http://schemas.openxmlformats.org/officeDocument/2006/relationships/hyperlink" Target="https://www.google.com/maps/search/?api=1&amp;query_place_id=ChIJqda0RQmZ4jAR861kobU9SaE" TargetMode="External" Id="rId10"/><Relationship Type="http://schemas.openxmlformats.org/officeDocument/2006/relationships/hyperlink" Target="https://www.google.com/maps/search/?api=1&amp;query_place_id=ChIJXSG1gOGZ4jARQWWzQjSY8Hw" TargetMode="External" Id="rId11"/><Relationship Type="http://schemas.openxmlformats.org/officeDocument/2006/relationships/hyperlink" Target="https://www.google.com/maps/search/?api=1&amp;query_place_id=ChIJ3RQGqDKZ4jARor7IX-x0y0s" TargetMode="External" Id="rId12"/><Relationship Type="http://schemas.openxmlformats.org/officeDocument/2006/relationships/hyperlink" Target="https://www.google.com/maps/search/?api=1&amp;query_place_id=ChIJX1I3HwCZ4jARxCmOcCGCapw" TargetMode="External" Id="rId13"/><Relationship Type="http://schemas.openxmlformats.org/officeDocument/2006/relationships/hyperlink" Target="https://www.google.com/maps/search/?api=1&amp;query_place_id=ChIJ0VnuaBeZ4jARYxkgVt-fU-o" TargetMode="External" Id="rId14"/><Relationship Type="http://schemas.openxmlformats.org/officeDocument/2006/relationships/hyperlink" Target="https://www.google.com/maps/search/?api=1&amp;query_place_id=ChIJnx1_2XKZ4jARlAWQwKo5-_Y" TargetMode="External" Id="rId15"/><Relationship Type="http://schemas.openxmlformats.org/officeDocument/2006/relationships/hyperlink" Target="https://www.google.com/maps/search/?api=1&amp;query_place_id=ChIJ5VJGvhGZ4jARSBZl5Kc7a2k" TargetMode="External" Id="rId16"/><Relationship Type="http://schemas.openxmlformats.org/officeDocument/2006/relationships/hyperlink" Target="https://www.google.com/maps/search/?api=1&amp;query_place_id=ChIJa0NEkBGZ4jARK8fGc1AlX4k" TargetMode="External" Id="rId17"/><Relationship Type="http://schemas.openxmlformats.org/officeDocument/2006/relationships/hyperlink" Target="https://www.google.com/maps/search/?api=1&amp;query_place_id=ChIJHdQm8CKZ4jARSeplrVUwAtg" TargetMode="External" Id="rId18"/><Relationship Type="http://schemas.openxmlformats.org/officeDocument/2006/relationships/hyperlink" Target="https://www.google.com/maps/search/?api=1&amp;query_place_id=ChIJAYJsTQSZ4jARi7QrBrmpxY4" TargetMode="External" Id="rId19"/><Relationship Type="http://schemas.openxmlformats.org/officeDocument/2006/relationships/hyperlink" Target="https://www.google.com/maps/search/?api=1&amp;query_place_id=ChIJ6aLoxQWZ4jARd7FjOaPiQ08" TargetMode="External" Id="rId20"/><Relationship Type="http://schemas.openxmlformats.org/officeDocument/2006/relationships/hyperlink" Target="https://www.google.com/maps/search/?api=1&amp;query_place_id=ChIJjYPUa8GZ4jARi9fgigQOiR8" TargetMode="External" Id="rId21"/><Relationship Type="http://schemas.openxmlformats.org/officeDocument/2006/relationships/hyperlink" Target="https://www.google.com/maps/search/?api=1&amp;query_place_id=ChIJ3cc_YhmZ4jARPfL1wgx3Ywk" TargetMode="External" Id="rId22"/><Relationship Type="http://schemas.openxmlformats.org/officeDocument/2006/relationships/hyperlink" Target="https://www.google.com/maps/search/?api=1&amp;query_place_id=ChIJI7VVefWZ4jARWW57XZMlPO4" TargetMode="External" Id="rId23"/><Relationship Type="http://schemas.openxmlformats.org/officeDocument/2006/relationships/hyperlink" Target="https://www.google.com/maps/search/?api=1&amp;query_place_id=ChIJpRm_RwCZ4jARHuxdKSbqYX0" TargetMode="External" Id="rId24"/><Relationship Type="http://schemas.openxmlformats.org/officeDocument/2006/relationships/hyperlink" Target="https://www.google.com/maps/search/?api=1&amp;query_place_id=ChIJf676IJeZ4jARHVCHVT4OJko" TargetMode="External" Id="rId25"/><Relationship Type="http://schemas.openxmlformats.org/officeDocument/2006/relationships/hyperlink" Target="https://www.google.com/maps/search/?api=1&amp;query_place_id=ChIJ2ewOZh6Z4jARqNuLp2xFDW8" TargetMode="External" Id="rId26"/><Relationship Type="http://schemas.openxmlformats.org/officeDocument/2006/relationships/hyperlink" Target="https://www.google.com/maps/search/?api=1&amp;query_place_id=ChIJv9Qyc9uZ4jAR7LyLQfsLySI" TargetMode="External" Id="rId27"/><Relationship Type="http://schemas.openxmlformats.org/officeDocument/2006/relationships/hyperlink" Target="https://www.google.com/maps/search/?api=1&amp;query_place_id=ChIJg86wsZ-Z4jARYyyrIYV1rpw" TargetMode="External" Id="rId28"/><Relationship Type="http://schemas.openxmlformats.org/officeDocument/2006/relationships/hyperlink" Target="https://www.google.com/maps/search/?api=1&amp;query_place_id=ChIJjZS9RwSZ4jARNZMgiT03fJ4" TargetMode="External" Id="rId29"/><Relationship Type="http://schemas.openxmlformats.org/officeDocument/2006/relationships/hyperlink" Target="https://www.google.com/maps/search/?api=1&amp;query_place_id=ChIJ961s0QWZ4jARvvtf8tT2ZzQ" TargetMode="External" Id="rId30"/><Relationship Type="http://schemas.openxmlformats.org/officeDocument/2006/relationships/hyperlink" Target="https://www.google.com/maps/search/?api=1&amp;query_place_id=ChIJrTG8QwSZ4jAR7y9dYWUsw_o" TargetMode="External" Id="rId31"/><Relationship Type="http://schemas.openxmlformats.org/officeDocument/2006/relationships/hyperlink" Target="https://www.google.com/maps/search/?api=1&amp;query_place_id=ChIJhbOGK6qZ4jARpbTx6P5md9s" TargetMode="External" Id="rId32"/><Relationship Type="http://schemas.openxmlformats.org/officeDocument/2006/relationships/hyperlink" Target="https://www.google.com/maps/search/?api=1&amp;query_place_id=ChIJwznn8QSZ4jARth7RYPTDmAc" TargetMode="External" Id="rId33"/><Relationship Type="http://schemas.openxmlformats.org/officeDocument/2006/relationships/hyperlink" Target="https://www.google.com/maps/search/?api=1&amp;query_place_id=ChIJ28Sybv2Z4jARwGxmuwOJbso" TargetMode="External" Id="rId34"/><Relationship Type="http://schemas.openxmlformats.org/officeDocument/2006/relationships/hyperlink" Target="https://www.google.com/maps/search/?api=1&amp;query_place_id=ChIJ321kK3GZ4jAR2rRWuWXBPMw" TargetMode="External" Id="rId35"/><Relationship Type="http://schemas.openxmlformats.org/officeDocument/2006/relationships/hyperlink" Target="https://www.google.com/maps/search/?api=1&amp;query_place_id=ChIJJQLvOwCZ4jARUyBcQD86DEY" TargetMode="External" Id="rId36"/><Relationship Type="http://schemas.openxmlformats.org/officeDocument/2006/relationships/hyperlink" Target="https://www.google.com/maps/search/?api=1&amp;query_place_id=ChIJT3ZAob-Z4jARZKL_lsJzvVY" TargetMode="External" Id="rId37"/><Relationship Type="http://schemas.openxmlformats.org/officeDocument/2006/relationships/hyperlink" Target="https://www.google.com/maps/search/?api=1&amp;query_place_id=ChIJZ6CYhMaZ4jARJ98e1bZkf5Y" TargetMode="External" Id="rId38"/><Relationship Type="http://schemas.openxmlformats.org/officeDocument/2006/relationships/hyperlink" Target="https://www.google.com/maps/search/?api=1&amp;query_place_id=ChIJ026d7FuY4jARmnM2EpwSY9M" TargetMode="External" Id="rId39"/><Relationship Type="http://schemas.openxmlformats.org/officeDocument/2006/relationships/hyperlink" Target="https://www.google.com/maps/search/?api=1&amp;query_place_id=ChIJt441FFyZ4jARjDnyNMSSHCE" TargetMode="External" Id="rId40"/><Relationship Type="http://schemas.openxmlformats.org/officeDocument/2006/relationships/hyperlink" Target="https://www.google.com/maps/search/?api=1&amp;query_place_id=ChIJYdBkWayZ4jARyCQGsj2EXnM" TargetMode="External" Id="rId41"/><Relationship Type="http://schemas.openxmlformats.org/officeDocument/2006/relationships/hyperlink" Target="https://www.google.com/maps/search/?api=1&amp;query_place_id=ChIJsZOKY0SY4jAR9YUtLVVi9us" TargetMode="External" Id="rId42"/><Relationship Type="http://schemas.openxmlformats.org/officeDocument/2006/relationships/hyperlink" Target="https://www.google.com/maps/search/?api=1&amp;query_place_id=ChIJmZilkluY4jARrhZbeqVgOqQ" TargetMode="External" Id="rId43"/><Relationship Type="http://schemas.openxmlformats.org/officeDocument/2006/relationships/hyperlink" Target="https://www.google.com/maps/search/?api=1&amp;query_place_id=ChIJbxDHe5aZ4jARisr7Zv3inFw" TargetMode="External" Id="rId44"/><Relationship Type="http://schemas.openxmlformats.org/officeDocument/2006/relationships/hyperlink" Target="https://www.google.com/maps/search/?api=1&amp;query_place_id=ChIJkSZ-Y1uY4jARBUk3CwCBWZU" TargetMode="External" Id="rId45"/><Relationship Type="http://schemas.openxmlformats.org/officeDocument/2006/relationships/hyperlink" Target="https://www.google.com/maps/search/?api=1&amp;query_place_id=ChIJd0oN2SmZ4jARvT7TiGUmDGs" TargetMode="External" Id="rId46"/><Relationship Type="http://schemas.openxmlformats.org/officeDocument/2006/relationships/hyperlink" Target="https://www.google.com/maps/search/?api=1&amp;query_place_id=ChIJicM_KrqZ4jARknIcSUkpVdg" TargetMode="External" Id="rId47"/><Relationship Type="http://schemas.openxmlformats.org/officeDocument/2006/relationships/hyperlink" Target="https://www.google.com/maps/search/?api=1&amp;query_place_id=ChIJe_8_Ci6Z4jARqgBTNie9XqE" TargetMode="External" Id="rId48"/><Relationship Type="http://schemas.openxmlformats.org/officeDocument/2006/relationships/hyperlink" Target="https://www.google.com/maps/search/?api=1&amp;query_place_id=ChIJ3zD-QBaZ4jARgbCPH2kTR3w" TargetMode="External" Id="rId49"/><Relationship Type="http://schemas.openxmlformats.org/officeDocument/2006/relationships/hyperlink" Target="https://www.google.com/maps/search/?api=1&amp;query_place_id=ChIJlZGKHACZ4jARL-eA4Ie6SwI" TargetMode="External" Id="rId50"/><Relationship Type="http://schemas.openxmlformats.org/officeDocument/2006/relationships/hyperlink" Target="https://www.google.com/maps/search/?api=1&amp;query_place_id=ChIJ5UstNruZ4jAR8IvFsMS0bH8" TargetMode="External" Id="rId51"/><Relationship Type="http://schemas.openxmlformats.org/officeDocument/2006/relationships/hyperlink" Target="https://www.google.com/maps/search/?api=1&amp;query_place_id=ChIJx-0SOgCZ4jARpHRMxuLkE88" TargetMode="External" Id="rId52"/><Relationship Type="http://schemas.openxmlformats.org/officeDocument/2006/relationships/hyperlink" Target="https://www.google.com/maps/search/?api=1&amp;query_place_id=ChIJFzK8PimZ4jARnkqwKGrzLts" TargetMode="External" Id="rId53"/><Relationship Type="http://schemas.openxmlformats.org/officeDocument/2006/relationships/hyperlink" Target="https://www.google.com/maps/search/?api=1&amp;query_place_id=ChIJ3Zne-SeZ4jARToMmi_3aK_s" TargetMode="External" Id="rId54"/><Relationship Type="http://schemas.openxmlformats.org/officeDocument/2006/relationships/hyperlink" Target="https://www.google.com/maps/search/?api=1&amp;query_place_id=ChIJg_OawsSZ4jARhar1F01_csQ" TargetMode="External" Id="rId55"/><Relationship Type="http://schemas.openxmlformats.org/officeDocument/2006/relationships/hyperlink" Target="https://www.google.com/maps/search/?api=1&amp;query_place_id=ChIJJ03QjGOZ4jARdUW-bCQ2u2s" TargetMode="External" Id="rId56"/><Relationship Type="http://schemas.openxmlformats.org/officeDocument/2006/relationships/hyperlink" Target="https://www.google.com/maps/search/?api=1&amp;query_place_id=ChIJqcfmnCGZ4jARBiLzwaax2hQ" TargetMode="External" Id="rId57"/><Relationship Type="http://schemas.openxmlformats.org/officeDocument/2006/relationships/hyperlink" Target="https://www.google.com/maps/search/?api=1&amp;query_place_id=ChIJH79CmBiZ4jARMdjLCASWygc" TargetMode="External" Id="rId58"/><Relationship Type="http://schemas.openxmlformats.org/officeDocument/2006/relationships/hyperlink" Target="https://www.google.com/maps/search/?api=1&amp;query_place_id=ChIJCcEDgCGZ4jARv0rIMlI8o8g" TargetMode="External" Id="rId59"/><Relationship Type="http://schemas.openxmlformats.org/officeDocument/2006/relationships/hyperlink" Target="https://www.google.com/maps/search/?api=1&amp;query_place_id=ChIJt5EP4UqZ4jAR4sUvrUikzSE" TargetMode="External" Id="rId60"/><Relationship Type="http://schemas.openxmlformats.org/officeDocument/2006/relationships/hyperlink" Target="https://www.google.com/maps/search/?api=1&amp;query_place_id=ChIJI5IJnSGZ4jAR_BRDFrSbdH0" TargetMode="External" Id="rId61"/><Relationship Type="http://schemas.openxmlformats.org/officeDocument/2006/relationships/hyperlink" Target="https://www.google.com/maps/search/?api=1&amp;query_place_id=ChIJ2dYIoeeZ4jARgBOBTWYpMrw" TargetMode="External" Id="rId62"/><Relationship Type="http://schemas.openxmlformats.org/officeDocument/2006/relationships/hyperlink" Target="https://www.google.com/maps/search/?api=1&amp;query_place_id=ChIJ87Kr8yGZ4jARCcnpigaGLP4" TargetMode="External" Id="rId63"/><Relationship Type="http://schemas.openxmlformats.org/officeDocument/2006/relationships/hyperlink" Target="https://www.google.com/maps/search/?api=1&amp;query_place_id=ChIJIwWhlEmY4jARKlgNkAARFJQ" TargetMode="External" Id="rId64"/><Relationship Type="http://schemas.openxmlformats.org/officeDocument/2006/relationships/hyperlink" Target="https://www.google.com/maps/search/?api=1&amp;query_place_id=ChIJQd2TUOyZ4jAR_5b3Z6wVvzE" TargetMode="External" Id="rId65"/><Relationship Type="http://schemas.openxmlformats.org/officeDocument/2006/relationships/hyperlink" Target="https://www.google.com/maps/search/?api=1&amp;query_place_id=ChIJk4cFjByZ4jAR9rbLbQM3G1c" TargetMode="External" Id="rId66"/><Relationship Type="http://schemas.openxmlformats.org/officeDocument/2006/relationships/hyperlink" Target="https://www.google.com/maps/search/?api=1&amp;query_place_id=ChIJ829BuVyZ4jARomvWRybOhI0" TargetMode="External" Id="rId67"/><Relationship Type="http://schemas.openxmlformats.org/officeDocument/2006/relationships/hyperlink" Target="https://www.google.com/maps/search/?api=1&amp;query_place_id=ChIJdwVRcayZ4jARWYOrvCMw5XM" TargetMode="External" Id="rId68"/><Relationship Type="http://schemas.openxmlformats.org/officeDocument/2006/relationships/hyperlink" Target="https://www.google.com/maps/search/?api=1&amp;query_place_id=ChIJF6uVAzt9HTEROKM0WKZMU7M" TargetMode="External" Id="rId69"/><Relationship Type="http://schemas.openxmlformats.org/officeDocument/2006/relationships/hyperlink" Target="https://www.google.com/maps/search/?api=1&amp;query_place_id=ChIJIRC5fQCZ4jARxXARpHOPKzM" TargetMode="External" Id="rId70"/><Relationship Type="http://schemas.openxmlformats.org/officeDocument/2006/relationships/hyperlink" Target="https://www.google.com/maps/search/?api=1&amp;query_place_id=ChIJT9ICBAOZ4jARCo3fwpDrQmw" TargetMode="External" Id="rId71"/><Relationship Type="http://schemas.openxmlformats.org/officeDocument/2006/relationships/hyperlink" Target="https://www.google.com/maps/search/?api=1&amp;query_place_id=ChIJ-xFr-ieZ4jAR7Eyiebjcuwc" TargetMode="External" Id="rId72"/><Relationship Type="http://schemas.openxmlformats.org/officeDocument/2006/relationships/hyperlink" Target="https://www.google.com/maps/search/?api=1&amp;query_place_id=ChIJOcegC3KZ4jARcSGQACiRaHw" TargetMode="External" Id="rId73"/><Relationship Type="http://schemas.openxmlformats.org/officeDocument/2006/relationships/hyperlink" Target="https://www.google.com/maps/search/?api=1&amp;query_place_id=ChIJbRv0f9uZ4jAR9pXEQs6Vc4Y" TargetMode="External" Id="rId74"/><Relationship Type="http://schemas.openxmlformats.org/officeDocument/2006/relationships/hyperlink" Target="https://www.google.com/maps/search/?api=1&amp;query_place_id=ChIJMwd7y3-Z4jAR6jv3ZlUVEC0" TargetMode="External" Id="rId75"/><Relationship Type="http://schemas.openxmlformats.org/officeDocument/2006/relationships/hyperlink" Target="https://www.google.com/maps/search/?api=1&amp;query_place_id=ChIJO7ptd-OZ4jARRc08spnhUY4" TargetMode="External" Id="rId76"/><Relationship Type="http://schemas.openxmlformats.org/officeDocument/2006/relationships/hyperlink" Target="https://www.google.com/maps/search/?api=1&amp;query_place_id=ChIJlYLfvU6Z4jARmwl8wPMYGCw" TargetMode="External" Id="rId77"/><Relationship Type="http://schemas.openxmlformats.org/officeDocument/2006/relationships/hyperlink" Target="https://www.google.com/maps/search/?api=1&amp;query_place_id=ChIJSWv0PnKZ4jAR5t3IqO36gUA" TargetMode="External" Id="rId78"/><Relationship Type="http://schemas.openxmlformats.org/officeDocument/2006/relationships/hyperlink" Target="https://www.google.com/maps/search/?api=1&amp;query_place_id=ChIJtdWsZleZ4jARJHddpcihlco" TargetMode="External" Id="rId79"/><Relationship Type="http://schemas.openxmlformats.org/officeDocument/2006/relationships/hyperlink" Target="https://www.google.com/maps/search/?api=1&amp;query_place_id=ChIJ39FsRACZ4jARUDpm-30ycuY" TargetMode="External" Id="rId80"/><Relationship Type="http://schemas.openxmlformats.org/officeDocument/2006/relationships/hyperlink" Target="https://www.google.com/maps/search/?api=1&amp;query_place_id=ChIJwb40l2yZ4jAR1fitphBOjAU" TargetMode="External" Id="rId81"/><Relationship Type="http://schemas.openxmlformats.org/officeDocument/2006/relationships/hyperlink" Target="https://www.google.com/maps/search/?api=1&amp;query_place_id=ChIJOT6MWs2e4jARBD-fu38Nrho" TargetMode="External" Id="rId82"/><Relationship Type="http://schemas.openxmlformats.org/officeDocument/2006/relationships/hyperlink" Target="https://www.google.com/maps/search/?api=1&amp;query_place_id=ChIJq5Vg_qyf4jARBngvlHb1nhQ" TargetMode="External" Id="rId83"/><Relationship Type="http://schemas.openxmlformats.org/officeDocument/2006/relationships/hyperlink" Target="https://www.google.com/maps/search/?api=1&amp;query_place_id=ChIJx5kHh42f4jARhsqSPkVXyi8" TargetMode="External" Id="rId84"/><Relationship Type="http://schemas.openxmlformats.org/officeDocument/2006/relationships/hyperlink" Target="https://www.google.com/maps/search/?api=1&amp;query_place_id=ChIJ6e7hT82e4jAR4HgD4RW37Tk" TargetMode="External" Id="rId85"/><Relationship Type="http://schemas.openxmlformats.org/officeDocument/2006/relationships/hyperlink" Target="https://www.google.com/maps/search/?api=1&amp;query_place_id=ChIJvVfRke6Z4jARtfVQBDEcrGs" TargetMode="External" Id="rId86"/><Relationship Type="http://schemas.openxmlformats.org/officeDocument/2006/relationships/hyperlink" Target="https://www.google.com/maps/search/?api=1&amp;query_place_id=ChIJtbPNdyeZ4jAREEaHyqnCwQQ" TargetMode="External" Id="rId87"/><Relationship Type="http://schemas.openxmlformats.org/officeDocument/2006/relationships/hyperlink" Target="https://www.google.com/maps/search/?api=1&amp;query_place_id=ChIJ7c1QQqOZ4jARG6a6kPo38oo" TargetMode="External" Id="rId88"/><Relationship Type="http://schemas.openxmlformats.org/officeDocument/2006/relationships/hyperlink" Target="https://www.google.com/maps/search/?api=1&amp;query_place_id=ChIJxwnzCJKf4jARR8hWRCoTGvI" TargetMode="External" Id="rId89"/><Relationship Type="http://schemas.openxmlformats.org/officeDocument/2006/relationships/hyperlink" Target="https://www.google.com/maps/search/?api=1&amp;query_place_id=ChIJ0xX1UNKe4jAR-WZptZL_-uk" TargetMode="External" Id="rId90"/><Relationship Type="http://schemas.openxmlformats.org/officeDocument/2006/relationships/hyperlink" Target="https://www.google.com/maps/search/?api=1&amp;query_place_id=ChIJNxVoORuf4jARgnrw6F9dzdc" TargetMode="External" Id="rId91"/><Relationship Type="http://schemas.openxmlformats.org/officeDocument/2006/relationships/hyperlink" Target="https://www.google.com/maps/search/?api=1&amp;query_place_id=ChIJHQAgyI2j4jARReexfH3uHeI" TargetMode="External" Id="rId92"/><Relationship Type="http://schemas.openxmlformats.org/officeDocument/2006/relationships/hyperlink" Target="https://www.google.com/maps/search/?api=1&amp;query_place_id=ChIJZS6MApeY4jARB4mNKlFwgaI" TargetMode="External" Id="rId93"/><Relationship Type="http://schemas.openxmlformats.org/officeDocument/2006/relationships/hyperlink" Target="https://www.google.com/maps/search/?api=1&amp;query_place_id=ChIJI1DGO3iZ4jARyhWXLVWyHog" TargetMode="External" Id="rId94"/><Relationship Type="http://schemas.openxmlformats.org/officeDocument/2006/relationships/hyperlink" Target="https://www.google.com/maps/search/?api=1&amp;query_place_id=ChIJP0Ls1z-Z4jARIa6TS6sI4Dk" TargetMode="External" Id="rId95"/><Relationship Type="http://schemas.openxmlformats.org/officeDocument/2006/relationships/hyperlink" Target="https://www.google.com/maps/search/?api=1&amp;query_place_id=ChIJc8lMcQCZ4jARBg4bOgSFdtA" TargetMode="External" Id="rId96"/><Relationship Type="http://schemas.openxmlformats.org/officeDocument/2006/relationships/hyperlink" Target="https://www.google.com/maps/search/?api=1&amp;query_place_id=ChIJl_bB-6-Z4jARKQxbLdvEpTQ" TargetMode="External" Id="rId97"/><Relationship Type="http://schemas.openxmlformats.org/officeDocument/2006/relationships/hyperlink" Target="https://www.google.com/maps/search/?api=1&amp;query_place_id=ChIJk-H5AJeY4jARfbqXye_X0u8" TargetMode="External" Id="rId98"/><Relationship Type="http://schemas.openxmlformats.org/officeDocument/2006/relationships/hyperlink" Target="https://www.google.com/maps/search/?api=1&amp;query_place_id=ChIJJToG_Lae4jARyGfWLIaA7Xs" TargetMode="External" Id="rId99"/><Relationship Type="http://schemas.openxmlformats.org/officeDocument/2006/relationships/hyperlink" Target="https://www.google.com/maps/search/?api=1&amp;query_place_id=ChIJ947tbq-f4jARmqxnBY9oxv4" TargetMode="External" Id="rId100"/><Relationship Type="http://schemas.openxmlformats.org/officeDocument/2006/relationships/hyperlink" Target="https://www.google.com/maps/search/?api=1&amp;query_place_id=ChIJn5GjYaCf4jARPXfCMkM2LP0" TargetMode="External" Id="rId101"/><Relationship Type="http://schemas.openxmlformats.org/officeDocument/2006/relationships/hyperlink" Target="https://www.google.com/maps/search/?api=1&amp;query_place_id=ChIJT7QoxNuf4jAR9_JfRRGfphE" TargetMode="External" Id="rId102"/><Relationship Type="http://schemas.openxmlformats.org/officeDocument/2006/relationships/hyperlink" Target="https://www.google.com/maps/search/?api=1&amp;query_place_id=ChIJ10vI9R2f4jARhWtV_3zSYSk" TargetMode="External" Id="rId103"/><Relationship Type="http://schemas.openxmlformats.org/officeDocument/2006/relationships/hyperlink" Target="https://www.google.com/maps/search/?api=1&amp;query_place_id=ChIJS1-3ni6f4jARAS9TqmgpsLM" TargetMode="External" Id="rId104"/><Relationship Type="http://schemas.openxmlformats.org/officeDocument/2006/relationships/hyperlink" Target="https://www.google.com/maps/search/?api=1&amp;query_place_id=ChIJ8WhXGqaf4jARcV1ZdA6vAGM" TargetMode="External" Id="rId105"/><Relationship Type="http://schemas.openxmlformats.org/officeDocument/2006/relationships/hyperlink" Target="https://www.google.com/maps/search/?api=1&amp;query_place_id=ChIJDSFb56if4jARW_JZU5zoLR4" TargetMode="External" Id="rId106"/><Relationship Type="http://schemas.openxmlformats.org/officeDocument/2006/relationships/hyperlink" Target="https://www.google.com/maps/search/?api=1&amp;query_place_id=ChIJFSm9rMCf4jAR5FJeZ0gFIXQ" TargetMode="External" Id="rId107"/><Relationship Type="http://schemas.openxmlformats.org/officeDocument/2006/relationships/hyperlink" Target="https://www.google.com/maps/search/?api=1&amp;query_place_id=ChIJG_462byf4jARUl71r_65amw" TargetMode="External" Id="rId108"/><Relationship Type="http://schemas.openxmlformats.org/officeDocument/2006/relationships/hyperlink" Target="https://www.google.com/maps/search/?api=1&amp;query_place_id=ChIJV1rnpl2c4jARyPXKBBAlWlA" TargetMode="External" Id="rId109"/><Relationship Type="http://schemas.openxmlformats.org/officeDocument/2006/relationships/hyperlink" Target="https://www.google.com/maps/search/?api=1&amp;query_place_id=ChIJi6lebF2c4jARktKBDI99zQA" TargetMode="External" Id="rId110"/><Relationship Type="http://schemas.openxmlformats.org/officeDocument/2006/relationships/hyperlink" Target="https://www.google.com/maps/search/?api=1&amp;query_place_id=ChIJP43UUlyc4jAR7vOhOeBngB8" TargetMode="External" Id="rId111"/><Relationship Type="http://schemas.openxmlformats.org/officeDocument/2006/relationships/hyperlink" Target="https://www.google.com/maps/search/?api=1&amp;query_place_id=ChIJS05aNayd4jARo_eN8wMGhjM" TargetMode="External" Id="rId112"/><Relationship Type="http://schemas.openxmlformats.org/officeDocument/2006/relationships/hyperlink" Target="https://www.google.com/maps/search/?api=1&amp;query_place_id=ChIJu9WLOA2d4jARbdmUI1KdnFk" TargetMode="External" Id="rId113"/><Relationship Type="http://schemas.openxmlformats.org/officeDocument/2006/relationships/hyperlink" Target="https://www.google.com/maps/search/?api=1&amp;query_place_id=ChIJv-hmh3Sd4jARWpoYBlCmw3c" TargetMode="External" Id="rId114"/><Relationship Type="http://schemas.openxmlformats.org/officeDocument/2006/relationships/hyperlink" Target="https://www.google.com/maps/search/?api=1&amp;query_place_id=ChIJyz_XXkWc4jARLVTuJr2atoM" TargetMode="External" Id="rId115"/><Relationship Type="http://schemas.openxmlformats.org/officeDocument/2006/relationships/hyperlink" Target="https://www.google.com/maps/search/?api=1&amp;query_place_id=ChIJPQz_AX2d4jART00Xk3W7vHM" TargetMode="External" Id="rId116"/><Relationship Type="http://schemas.openxmlformats.org/officeDocument/2006/relationships/hyperlink" Target="https://www.google.com/maps/search/?api=1&amp;query_place_id=ChIJgxZH79-d4jARdL5BQd0W0eM" TargetMode="External" Id="rId117"/><Relationship Type="http://schemas.openxmlformats.org/officeDocument/2006/relationships/hyperlink" Target="https://www.google.com/maps/search/?api=1&amp;query_place_id=ChIJdyUydBWf4jAR5uHs1qUPVDg" TargetMode="External" Id="rId118"/><Relationship Type="http://schemas.openxmlformats.org/officeDocument/2006/relationships/hyperlink" Target="https://www.google.com/maps/search/?api=1&amp;query_place_id=ChIJIUHmOe2f4jAR2l7P6OOm4hg" TargetMode="External" Id="rId119"/><Relationship Type="http://schemas.openxmlformats.org/officeDocument/2006/relationships/hyperlink" Target="https://www.google.com/maps/search/?api=1&amp;query_place_id=ChIJeeysUW-f4jARY3X5V-UWCpY" TargetMode="External" Id="rId120"/><Relationship Type="http://schemas.openxmlformats.org/officeDocument/2006/relationships/hyperlink" Target="https://www.google.com/maps/search/?api=1&amp;query_place_id=ChIJoxNMYVef4jARlJwkRLW0B5c" TargetMode="External" Id="rId121"/><Relationship Type="http://schemas.openxmlformats.org/officeDocument/2006/relationships/hyperlink" Target="https://www.google.com/maps/search/?api=1&amp;query_place_id=ChIJ-9u6LsSf4jARbeQtKXGDs0A" TargetMode="External" Id="rId122"/><Relationship Type="http://schemas.openxmlformats.org/officeDocument/2006/relationships/hyperlink" Target="https://www.google.com/maps/search/?api=1&amp;query_place_id=ChIJDRLVJwCf4jAR0Ot8NsNbOa8" TargetMode="External" Id="rId123"/><Relationship Type="http://schemas.openxmlformats.org/officeDocument/2006/relationships/hyperlink" Target="https://www.google.com/maps/search/?api=1&amp;query_place_id=ChIJTffLINKf4jARnwxAuG6p0lM" TargetMode="External" Id="rId124"/><Relationship Type="http://schemas.openxmlformats.org/officeDocument/2006/relationships/hyperlink" Target="https://www.google.com/maps/search/?api=1&amp;query_place_id=ChIJv3VwJXSf4jARP81DD3Ian_8" TargetMode="External" Id="rId125"/><Relationship Type="http://schemas.openxmlformats.org/officeDocument/2006/relationships/hyperlink" Target="https://www.google.com/maps/search/?api=1&amp;query_place_id=ChIJMZRb-NOf4jARXrQz_rKnSow" TargetMode="External" Id="rId126"/><Relationship Type="http://schemas.openxmlformats.org/officeDocument/2006/relationships/hyperlink" Target="https://www.google.com/maps/search/?api=1&amp;query_place_id=ChIJc_7gsZWd4jARFn4gx5gOp-0" TargetMode="External" Id="rId127"/><Relationship Type="http://schemas.openxmlformats.org/officeDocument/2006/relationships/hyperlink" Target="https://www.google.com/maps/search/?api=1&amp;query_place_id=ChIJyZeU6ZCd4jAR-dFDYsfWLxY" TargetMode="External" Id="rId128"/><Relationship Type="http://schemas.openxmlformats.org/officeDocument/2006/relationships/hyperlink" Target="https://www.google.com/maps/search/?api=1&amp;query_place_id=ChIJPXkelled4jARSc3rqUFfrYI" TargetMode="External" Id="rId129"/><Relationship Type="http://schemas.openxmlformats.org/officeDocument/2006/relationships/hyperlink" Target="https://www.google.com/maps/search/?api=1&amp;query_place_id=ChIJtUQkVjKd4jAR2b9jlAmSKdQ" TargetMode="External" Id="rId130"/><Relationship Type="http://schemas.openxmlformats.org/officeDocument/2006/relationships/hyperlink" Target="https://www.google.com/maps/search/?api=1&amp;query_place_id=ChIJxdlKHpOd4jAREYNZpzh9udo" TargetMode="External" Id="rId131"/><Relationship Type="http://schemas.openxmlformats.org/officeDocument/2006/relationships/hyperlink" Target="https://www.google.com/maps/search/?api=1&amp;query_place_id=ChIJSTyov--d4jARAIj_Zg7hubk" TargetMode="External" Id="rId132"/><Relationship Type="http://schemas.openxmlformats.org/officeDocument/2006/relationships/hyperlink" Target="https://www.google.com/maps/search/?api=1&amp;query_place_id=ChIJo96cuPOd4jARLtWjUtP1Ec4" TargetMode="External" Id="rId133"/><Relationship Type="http://schemas.openxmlformats.org/officeDocument/2006/relationships/hyperlink" Target="https://www.google.com/maps/search/?api=1&amp;query_place_id=ChIJw3rEYBWc4jARovBwcCEAYg8" TargetMode="External" Id="rId134"/><Relationship Type="http://schemas.openxmlformats.org/officeDocument/2006/relationships/hyperlink" Target="https://www.google.com/maps/search/?api=1&amp;query_place_id=ChIJw4cHbwCd4jARNo-5tj8cDeE" TargetMode="External" Id="rId135"/><Relationship Type="http://schemas.openxmlformats.org/officeDocument/2006/relationships/hyperlink" Target="https://www.google.com/maps/search/?api=1&amp;query_place_id=ChIJjdP6OTyf4jARimhHXNzD-Nw" TargetMode="External" Id="rId136"/><Relationship Type="http://schemas.openxmlformats.org/officeDocument/2006/relationships/hyperlink" Target="https://www.google.com/maps/search/?api=1&amp;query_place_id=ChIJR8JsZ7Gf4jARsMFdVqqbpSI" TargetMode="External" Id="rId137"/><Relationship Type="http://schemas.openxmlformats.org/officeDocument/2006/relationships/hyperlink" Target="https://www.google.com/maps/search/?api=1&amp;query_place_id=ChIJ-e7PJwCf4jARb2x7TYmSFn0" TargetMode="External" Id="rId138"/><Relationship Type="http://schemas.openxmlformats.org/officeDocument/2006/relationships/hyperlink" Target="https://www.google.com/maps/search/?api=1&amp;query_place_id=ChIJuSKxXgCf4jAR-_vdS8kcUXA" TargetMode="External" Id="rId139"/><Relationship Type="http://schemas.openxmlformats.org/officeDocument/2006/relationships/hyperlink" Target="https://www.google.com/maps/search/?api=1&amp;query_place_id=ChIJEfw6CQCf4jARFu-A7izcm2w" TargetMode="External" Id="rId140"/><Relationship Type="http://schemas.openxmlformats.org/officeDocument/2006/relationships/hyperlink" Target="https://www.google.com/maps/search/?api=1&amp;query_place_id=ChIJI9x17Omf4jARDqrBnFQoX5w" TargetMode="External" Id="rId141"/><Relationship Type="http://schemas.openxmlformats.org/officeDocument/2006/relationships/hyperlink" Target="https://www.google.com/maps/search/?api=1&amp;query_place_id=ChIJOTbgFaCf4jAR7kIzCLDVcN8" TargetMode="External" Id="rId142"/><Relationship Type="http://schemas.openxmlformats.org/officeDocument/2006/relationships/hyperlink" Target="https://www.google.com/maps/search/?api=1&amp;query_place_id=ChIJUYtlbzyf4jAR7COgQ6vymRE" TargetMode="External" Id="rId143"/><Relationship Type="http://schemas.openxmlformats.org/officeDocument/2006/relationships/hyperlink" Target="https://www.google.com/maps/search/?api=1&amp;query_place_id=ChIJpcosguSZ4jARk4ksUBZuelo" TargetMode="External" Id="rId144"/><Relationship Type="http://schemas.openxmlformats.org/officeDocument/2006/relationships/hyperlink" Target="https://www.google.com/maps/search/?api=1&amp;query_place_id=ChIJjzv-dPKZ4jARCp1aouyBpE8" TargetMode="External" Id="rId145"/><Relationship Type="http://schemas.openxmlformats.org/officeDocument/2006/relationships/hyperlink" Target="https://www.google.com/maps/search/?api=1&amp;query_place_id=ChIJf5HPKgCZ4jARFwKPTrMCfsw" TargetMode="External" Id="rId146"/><Relationship Type="http://schemas.openxmlformats.org/officeDocument/2006/relationships/hyperlink" Target="https://www.google.com/maps/search/?api=1&amp;query_place_id=ChIJnfb7n3-Z4jARskUzQn4aM7w" TargetMode="External" Id="rId147"/><Relationship Type="http://schemas.openxmlformats.org/officeDocument/2006/relationships/hyperlink" Target="https://www.google.com/maps/search/?api=1&amp;query_place_id=ChIJfQiAmQuZ4jARG4upB3CnuHs" TargetMode="External" Id="rId148"/><Relationship Type="http://schemas.openxmlformats.org/officeDocument/2006/relationships/hyperlink" Target="https://www.google.com/maps/search/?api=1&amp;query_place_id=ChIJr9e7GwCZ4jARW8RMPkC8O_8" TargetMode="External" Id="rId149"/><Relationship Type="http://schemas.openxmlformats.org/officeDocument/2006/relationships/hyperlink" Target="https://www.google.com/maps/search/?api=1&amp;query_place_id=ChIJWbSr14OZ4jARWFStrxn_4vk" TargetMode="External" Id="rId150"/><Relationship Type="http://schemas.openxmlformats.org/officeDocument/2006/relationships/hyperlink" Target="https://www.google.com/maps/search/?api=1&amp;query_place_id=ChIJS5fE3mSZ4jARvDuAQM91lJ4" TargetMode="External" Id="rId151"/><Relationship Type="http://schemas.openxmlformats.org/officeDocument/2006/relationships/hyperlink" Target="https://www.google.com/maps/search/?api=1&amp;query_place_id=ChIJhw6JOgCZ4jARlH9MIGH7vvc" TargetMode="External" Id="rId152"/><Relationship Type="http://schemas.openxmlformats.org/officeDocument/2006/relationships/hyperlink" Target="https://www.google.com/maps/search/?api=1&amp;query_place_id=ChIJ8UUwugyZ4jARGNjrh6ZjoPo" TargetMode="External" Id="rId153"/><Relationship Type="http://schemas.openxmlformats.org/officeDocument/2006/relationships/hyperlink" Target="https://www.google.com/maps/search/?api=1&amp;query_place_id=ChIJE9uBwv1jHTER8_5buwDwWHs" TargetMode="External" Id="rId154"/><Relationship Type="http://schemas.openxmlformats.org/officeDocument/2006/relationships/hyperlink" Target="https://www.google.com/maps/search/?api=1&amp;query_place_id=ChIJ_-2l4DVjHTERLl5lhoRTCpI" TargetMode="External" Id="rId155"/><Relationship Type="http://schemas.openxmlformats.org/officeDocument/2006/relationships/hyperlink" Target="https://www.google.com/maps/search/?api=1&amp;query_place_id=ChIJHfN-m5ZjHTERV2CZHsShc6Y" TargetMode="External" Id="rId156"/><Relationship Type="http://schemas.openxmlformats.org/officeDocument/2006/relationships/hyperlink" Target="https://www.google.com/maps/search/?api=1&amp;query_place_id=ChIJy8gKBF5jHTERXSlLPo9tn-Y" TargetMode="External" Id="rId157"/><Relationship Type="http://schemas.openxmlformats.org/officeDocument/2006/relationships/hyperlink" Target="https://www.google.com/maps/search/?api=1&amp;query_place_id=ChIJ8f9UwMFjHTERh5tg75kjz0w" TargetMode="External" Id="rId158"/><Relationship Type="http://schemas.openxmlformats.org/officeDocument/2006/relationships/hyperlink" Target="https://www.google.com/maps/search/?api=1&amp;query_place_id=ChIJ1fzWSZRjHTERuT7w-8AlgJ0" TargetMode="External" Id="rId159"/><Relationship Type="http://schemas.openxmlformats.org/officeDocument/2006/relationships/hyperlink" Target="https://www.google.com/maps/search/?api=1&amp;query_place_id=ChIJpfLDOERE-CkR9hxENA-Jewc" TargetMode="External" Id="rId160"/><Relationship Type="http://schemas.openxmlformats.org/officeDocument/2006/relationships/hyperlink" Target="https://www.google.com/maps/search/?api=1&amp;query_place_id=ChIJCw0WjJhjHTERfWJvwcBDSS0" TargetMode="External" Id="rId161"/><Relationship Type="http://schemas.openxmlformats.org/officeDocument/2006/relationships/hyperlink" Target="https://www.google.com/maps/search/?api=1&amp;query_place_id=ChIJMecgLgBjHTERoQn0TlQeVkg" TargetMode="External" Id="rId162"/><Relationship Type="http://schemas.openxmlformats.org/officeDocument/2006/relationships/hyperlink" Target="https://www.google.com/maps/search/?api=1&amp;query_place_id=ChIJKVkAhJiZ4jARNoCJrCQPoIw" TargetMode="External" Id="rId163"/><Relationship Type="http://schemas.openxmlformats.org/officeDocument/2006/relationships/hyperlink" Target="https://www.google.com/maps/search/?api=1&amp;query_place_id=ChIJXYKPQjuZ4jARL5W1S-jf9-E" TargetMode="External" Id="rId164"/><Relationship Type="http://schemas.openxmlformats.org/officeDocument/2006/relationships/hyperlink" Target="https://www.google.com/maps/search/?api=1&amp;query_place_id=ChIJPWb36AyZ4jAR98-qaNJ4giA" TargetMode="External" Id="rId165"/><Relationship Type="http://schemas.openxmlformats.org/officeDocument/2006/relationships/hyperlink" Target="https://www.google.com/maps/search/?api=1&amp;query_place_id=ChIJN2VoTo6Z4jARGJKu76SI8dE" TargetMode="External" Id="rId166"/><Relationship Type="http://schemas.openxmlformats.org/officeDocument/2006/relationships/hyperlink" Target="https://www.google.com/maps/search/?api=1&amp;query_place_id=ChIJr0_8WhuZ4jARkLSG8nhL7n8" TargetMode="External" Id="rId167"/><Relationship Type="http://schemas.openxmlformats.org/officeDocument/2006/relationships/hyperlink" Target="https://www.google.com/maps/search/?api=1&amp;query_place_id=ChIJQ5mJMxuZ4jARTE2Xh-_eRhU" TargetMode="External" Id="rId168"/><Relationship Type="http://schemas.openxmlformats.org/officeDocument/2006/relationships/hyperlink" Target="https://www.google.com/maps/search/?api=1&amp;query_place_id=ChIJHS2FAO6Z4jARqhV0fzk_yhI" TargetMode="External" Id="rId169"/><Relationship Type="http://schemas.openxmlformats.org/officeDocument/2006/relationships/hyperlink" Target="https://www.google.com/maps/search/?api=1&amp;query_place_id=ChIJCRFd5AyZ4jAROqVIK-MGKJo" TargetMode="External" Id="rId170"/><Relationship Type="http://schemas.openxmlformats.org/officeDocument/2006/relationships/hyperlink" Target="https://www.google.com/maps/search/?api=1&amp;query_place_id=ChIJg4vvVgCZ4jARZMzIP6_hBP0" TargetMode="External" Id="rId171"/></Relationships>
</file>

<file path=xl/worksheets/sheet1.xml><?xml version="1.0" encoding="utf-8"?>
<worksheet xmlns="http://schemas.openxmlformats.org/spreadsheetml/2006/main">
  <sheetPr>
    <tabColor rgb="002B6CB0"/>
    <outlinePr summaryBelow="1" summaryRight="1"/>
    <pageSetUpPr/>
  </sheetPr>
  <dimension ref="A1:B25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0" customHeight="1">
      <c r="A1" s="1" t="inlineStr">
        <is>
          <t>คู่มือไฟล์สถานที่กรุงเทพฯ</t>
        </is>
      </c>
    </row>
    <row r="2">
      <c r="A2" s="2" t="inlineStr">
        <is>
          <t>ข้อมูลจากไฟล์ของ Nirapada จัดใหม่ให้ตรง schema ใน docs/DATA.md · 1 แถว = 1 Place</t>
        </is>
      </c>
    </row>
    <row r="4">
      <c r="A4" s="3" t="inlineStr">
        <is>
          <t>สีหัวคอลัมน์ในชีต places</t>
        </is>
      </c>
    </row>
    <row r="5" ht="20" customHeight="1">
      <c r="A5" s="4" t="inlineStr">
        <is>
          <t>ข้อมูลหลัก</t>
        </is>
      </c>
      <c r="B5" s="5" t="inlineStr">
        <is>
          <t>id, category, name, area</t>
        </is>
      </c>
    </row>
    <row r="6" ht="20" customHeight="1">
      <c r="A6" s="6" t="inlineStr">
        <is>
          <t>พิกัด</t>
        </is>
      </c>
      <c r="B6" s="7" t="inlineStr">
        <is>
          <t>lat, lng</t>
        </is>
      </c>
    </row>
    <row r="7" ht="20" customHeight="1">
      <c r="A7" s="8" t="inlineStr">
        <is>
          <t>การจัดอันดับ</t>
        </is>
      </c>
      <c r="B7" s="9" t="inlineStr">
        <is>
          <t>tags, priceLevel, rating</t>
        </is>
      </c>
    </row>
    <row r="8" ht="20" customHeight="1">
      <c r="A8" s="10" t="inlineStr">
        <is>
          <t>เวลาเปิด</t>
        </is>
      </c>
      <c r="B8" s="11" t="inlineStr">
        <is>
          <t>mon, tue, wed, thu, fri, sat, sun</t>
        </is>
      </c>
    </row>
    <row r="9" ht="20" customHeight="1">
      <c r="A9" s="12" t="inlineStr">
        <is>
          <t>รายละเอียด</t>
        </is>
      </c>
      <c r="B9" s="13" t="inlineStr">
        <is>
          <t>dwellMinutes, entranceFee, shortDescription, breakfastIncluded</t>
        </is>
      </c>
    </row>
    <row r="10" ht="20" customHeight="1">
      <c r="A10" s="14" t="inlineStr">
        <is>
          <t>ตรวจสอบ</t>
        </is>
      </c>
      <c r="B10" s="15" t="inlineStr">
        <is>
          <t>mealSuitable, needsReview, note</t>
        </is>
      </c>
    </row>
    <row r="11" ht="20" customHeight="1">
      <c r="A11" s="16" t="inlineStr">
        <is>
          <t>อ้างอิง (ไม่เข้า JSON)</t>
        </is>
      </c>
      <c r="B11" s="17" t="inlineStr">
        <is>
          <t>sourceType, nearAttraction, distanceKm, googleName, googleReviews, googleCategories, …</t>
        </is>
      </c>
    </row>
    <row r="12" ht="20" customHeight="1">
      <c r="A12" s="18" t="inlineStr">
        <is>
          <t>แถวสีเหลือง</t>
        </is>
      </c>
      <c r="B12" s="19" t="inlineStr">
        <is>
          <t>มีค่าในคอลัมน์ needsReview ต้องตรวจก่อนนำเข้า</t>
        </is>
      </c>
    </row>
    <row r="14" ht="26" customHeight="1">
      <c r="A14" s="3" t="inlineStr">
        <is>
          <t>วิธีกรอกและที่มาข้อมูล</t>
        </is>
      </c>
    </row>
    <row r="15" ht="38" customHeight="1">
      <c r="A15" s="20" t="inlineStr">
        <is>
          <t>การนำเข้า</t>
        </is>
      </c>
      <c r="B15" s="21" t="inlineStr">
        <is>
          <t>แถว 1 = ชื่อ key ใน JSON (ห้ามแก้) แถว 2 = คำอธิบายภาษาไทย ข้อมูลเริ่มแถว 3 คอลัมน์กลุ่ม "อ้างอิง" ไม่เข้า JSON</t>
        </is>
      </c>
    </row>
    <row r="16" ht="38" customHeight="1">
      <c r="A16" s="22" t="inlineStr">
        <is>
          <t>tags</t>
        </is>
      </c>
      <c r="B16" s="23" t="inlineStr">
        <is>
          <t>คั่นด้วยจุลภาค ใช้ได้เฉพาะ: adventure, artCulture, beach, cafe, family, localFood, nature, nightlife, seafood, shopping, templeHistory, viewpoint, wellness</t>
        </is>
      </c>
    </row>
    <row r="17" ht="38" customHeight="1">
      <c r="A17" s="20" t="inlineStr">
        <is>
          <t>mon … sun</t>
        </is>
      </c>
      <c r="B17" s="21" t="inlineStr">
        <is>
          <t>รูปแบบ HH:MM-HH:MM · ช่องว่าง (สีเทา) = ปิดวันนั้น · ปิดหลังเที่ยงคืนให้เขียนเกิน 24:00 เช่น 17:30-25:30 · เปิดตลอดวัน = 00:00-24:00</t>
        </is>
      </c>
    </row>
    <row r="18" ht="38" customHeight="1">
      <c r="A18" s="22" t="inlineStr">
        <is>
          <t>priceLevel</t>
        </is>
      </c>
      <c r="B18" s="23" t="inlineStr">
        <is>
          <t>ร้าน: 1 ≤150 · 2 ~150–400 · 3 ~400–1,000 · 4 &gt;1,000 บาทต่อคนต่อมื้อ (สีทองเข้ม = แพง) เป็นค่าประมาณ ยังไม่มีข้อมูลราคาจาก Google</t>
        </is>
      </c>
    </row>
    <row r="19" ht="22" customHeight="1">
      <c r="A19" s="20" t="inlineStr">
        <is>
          <t>rating, เวลาเปิด</t>
        </is>
      </c>
      <c r="B19" s="21" t="inlineStr">
        <is>
          <t>ดึงจาก Google Maps วันที่ 4 ต.ค. 2569 ด้วย place_id ของแต่ละร้าน · rating ≥ 4.5 สีเขียว, &lt; 4.0 สีแดง</t>
        </is>
      </c>
    </row>
    <row r="20" ht="38" customHeight="1">
      <c r="A20" s="22" t="inlineStr">
        <is>
          <t>entranceFee</t>
        </is>
      </c>
      <c r="B20" s="23" t="inlineStr">
        <is>
          <t>ใช้ราคาชาวต่างชาติผู้ใหญ่ ตามที่ bangkok.json เดิมใช้ (วังหลวง 500, วัดโพธิ์ 300) ราคาคนไทยอยู่ในคอลัมน์ entranceFeeThai</t>
        </is>
      </c>
    </row>
    <row r="21" ht="38" customHeight="1">
      <c r="A21" s="20" t="inlineStr">
        <is>
          <t>mealSuitable</t>
        </is>
      </c>
      <c r="B21" s="21" t="inlineStr">
        <is>
          <t>Y = ใช้เป็นมื้อกลางวัน/เย็นได้ (planner ใช้ restaurant เฉพาะช่วงมื้อหลัก) · N = ร้านเครื่องดื่ม-ของหวาน แนะนำให้นำเข้าเฉพาะ Y ไปก่อน</t>
        </is>
      </c>
    </row>
    <row r="22" ht="38" customHeight="1">
      <c r="A22" s="22" t="inlineStr">
        <is>
          <t>สิ่งที่แก้จากไฟล์เดิม</t>
        </is>
      </c>
      <c r="B22" s="23" t="inlineStr">
        <is>
          <t>1) เวลาเปิด 66 แถวที่เขียน "ทุกวัน … (เสาร์)" เดิมเช็กแค่วันเสาร์ ตอนนี้เป็นเวลาจริงรายวันจาก Google  2) เวลาปิดหลังเที่ยงคืนเขียนแบบ 26:00  3) ร้านที่เปิด 2 ช่วงใส่ช่วงรวมและจดใน note  4) ลิงก์เป็น URL ธรรมดา + แยก place_id  5) เบอร์ "-" เป็นช่องว่าง  6) ตัดคอลัมน์สถานะที่ซ้ำกันทุกแถว</t>
        </is>
      </c>
    </row>
    <row r="23" ht="22" customHeight="1">
      <c r="A23" s="20" t="inlineStr">
        <is>
          <t>id ที่ชนกับของเดิม</t>
        </is>
      </c>
      <c r="B23" s="21" t="inlineStr">
        <is>
          <t>grand-palace, wat-pho, wat-arun, chatuchak ใช้ id เดียวกับใน bangkok.json ให้แทนที่ของเดิม ไม่ใช่เพิ่มซ้ำ</t>
        </is>
      </c>
    </row>
    <row r="24" ht="22" customHeight="1">
      <c r="A24" s="22" t="inlineStr">
        <is>
          <t>ยังขาดตามเป้า #21</t>
        </is>
      </c>
      <c r="B24" s="23" t="inlineStr">
        <is>
          <t>attraction มี 19 (เป้า ≥ 25) และยังไม่มี accommodation (เป้า ≥ 8) เพิ่มแถวในชีต places ได้ โดยเปลี่ยน category</t>
        </is>
      </c>
    </row>
    <row r="25" ht="22" customHeight="1">
      <c r="A25" s="20" t="inlineStr">
        <is>
          <t>ต้นฉบับ</t>
        </is>
      </c>
      <c r="B25" s="21" t="inlineStr">
        <is>
          <t>ชีต "ต้นฉบับ_…" คือข้อมูลเดิมของ Nirapada ไม่ได้แก้เนื้อหา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AK192"/>
  <sheetViews>
    <sheetView showGridLines="0" tabSelected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34" customWidth="1" min="3" max="3"/>
    <col width="16" customWidth="1" min="4" max="4"/>
    <col width="13" customWidth="1" min="5" max="5"/>
    <col width="13" customWidth="1" min="6" max="6"/>
    <col width="24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3" customWidth="1" min="18" max="18"/>
    <col width="60" customWidth="1" min="19" max="19"/>
    <col width="13" customWidth="1" min="20" max="20"/>
    <col width="13" customWidth="1" min="21" max="21"/>
    <col width="30" customWidth="1" min="22" max="22"/>
    <col width="50" customWidth="1" min="23" max="23"/>
    <col width="14" customWidth="1" min="24" max="24"/>
    <col width="30" customWidth="1" min="25" max="25"/>
    <col width="13" customWidth="1" min="26" max="26"/>
    <col width="30" customWidth="1" min="27" max="27"/>
    <col width="13" customWidth="1" min="28" max="28"/>
    <col width="30" customWidth="1" min="29" max="29"/>
    <col width="24" customWidth="1" min="30" max="30"/>
    <col width="34" customWidth="1" min="31" max="31"/>
    <col width="28" customWidth="1" min="32" max="32"/>
    <col width="13" customWidth="1" min="33" max="33"/>
    <col width="40" customWidth="1" min="34" max="34"/>
    <col width="16" customWidth="1" min="35" max="35"/>
    <col width="30" customWidth="1" min="36" max="36"/>
    <col width="40" customWidth="1" min="37" max="37"/>
  </cols>
  <sheetData>
    <row r="1" ht="24" customHeight="1">
      <c r="A1" s="24" t="inlineStr">
        <is>
          <t>id</t>
        </is>
      </c>
      <c r="B1" s="24" t="inlineStr">
        <is>
          <t>category</t>
        </is>
      </c>
      <c r="C1" s="24" t="inlineStr">
        <is>
          <t>name</t>
        </is>
      </c>
      <c r="D1" s="24" t="inlineStr">
        <is>
          <t>area</t>
        </is>
      </c>
      <c r="E1" s="25" t="inlineStr">
        <is>
          <t>lat</t>
        </is>
      </c>
      <c r="F1" s="26" t="inlineStr">
        <is>
          <t>lng</t>
        </is>
      </c>
      <c r="G1" s="27" t="inlineStr">
        <is>
          <t>tags</t>
        </is>
      </c>
      <c r="H1" s="28" t="inlineStr">
        <is>
          <t>priceLevel</t>
        </is>
      </c>
      <c r="I1" s="28" t="inlineStr">
        <is>
          <t>rating</t>
        </is>
      </c>
      <c r="J1" s="29" t="inlineStr">
        <is>
          <t>mon</t>
        </is>
      </c>
      <c r="K1" s="30" t="inlineStr">
        <is>
          <t>tue</t>
        </is>
      </c>
      <c r="L1" s="30" t="inlineStr">
        <is>
          <t>wed</t>
        </is>
      </c>
      <c r="M1" s="30" t="inlineStr">
        <is>
          <t>thu</t>
        </is>
      </c>
      <c r="N1" s="30" t="inlineStr">
        <is>
          <t>fri</t>
        </is>
      </c>
      <c r="O1" s="30" t="inlineStr">
        <is>
          <t>sat</t>
        </is>
      </c>
      <c r="P1" s="30" t="inlineStr">
        <is>
          <t>sun</t>
        </is>
      </c>
      <c r="Q1" s="31" t="inlineStr">
        <is>
          <t>dwellMinutes</t>
        </is>
      </c>
      <c r="R1" s="32" t="inlineStr">
        <is>
          <t>entranceFee</t>
        </is>
      </c>
      <c r="S1" s="32" t="inlineStr">
        <is>
          <t>shortDescription</t>
        </is>
      </c>
      <c r="T1" s="32" t="inlineStr">
        <is>
          <t>breakfastIncluded</t>
        </is>
      </c>
      <c r="U1" s="33" t="inlineStr">
        <is>
          <t>mealSuitable</t>
        </is>
      </c>
      <c r="V1" s="34" t="inlineStr">
        <is>
          <t>needsReview</t>
        </is>
      </c>
      <c r="W1" s="34" t="inlineStr">
        <is>
          <t>note</t>
        </is>
      </c>
      <c r="X1" s="35" t="inlineStr">
        <is>
          <t>sourceType</t>
        </is>
      </c>
      <c r="Y1" s="36" t="inlineStr">
        <is>
          <t>nearAttraction</t>
        </is>
      </c>
      <c r="Z1" s="36" t="inlineStr">
        <is>
          <t>distanceKm</t>
        </is>
      </c>
      <c r="AA1" s="36" t="inlineStr">
        <is>
          <t>googleName</t>
        </is>
      </c>
      <c r="AB1" s="36" t="inlineStr">
        <is>
          <t>googleReviews</t>
        </is>
      </c>
      <c r="AC1" s="36" t="inlineStr">
        <is>
          <t>googleCategories</t>
        </is>
      </c>
      <c r="AD1" s="36" t="inlineStr">
        <is>
          <t>hoursSource</t>
        </is>
      </c>
      <c r="AE1" s="36" t="inlineStr">
        <is>
          <t>hoursOriginal</t>
        </is>
      </c>
      <c r="AF1" s="36" t="inlineStr">
        <is>
          <t>priceLevelSource</t>
        </is>
      </c>
      <c r="AG1" s="36" t="inlineStr">
        <is>
          <t>entranceFeeThai</t>
        </is>
      </c>
      <c r="AH1" s="36" t="inlineStr">
        <is>
          <t>address</t>
        </is>
      </c>
      <c r="AI1" s="36" t="inlineStr">
        <is>
          <t>phone</t>
        </is>
      </c>
      <c r="AJ1" s="36" t="inlineStr">
        <is>
          <t>googlePlaceId</t>
        </is>
      </c>
      <c r="AK1" s="36" t="inlineStr">
        <is>
          <t>googleMapsUrl</t>
        </is>
      </c>
    </row>
    <row r="2" ht="34" customHeight="1">
      <c r="A2" s="37" t="inlineStr">
        <is>
          <t>รหัส (ห้ามซ้ำ/ห้ามเปลี่ยน)</t>
        </is>
      </c>
      <c r="B2" s="37" t="inlineStr">
        <is>
          <t>หมวด</t>
        </is>
      </c>
      <c r="C2" s="37" t="inlineStr">
        <is>
          <t>ชื่อ</t>
        </is>
      </c>
      <c r="D2" s="37" t="inlineStr">
        <is>
          <t>ย่าน</t>
        </is>
      </c>
      <c r="E2" s="38" t="inlineStr">
        <is>
          <t>ละติจูด</t>
        </is>
      </c>
      <c r="F2" s="39" t="inlineStr">
        <is>
          <t>ลองจิจูด</t>
        </is>
      </c>
      <c r="G2" s="40" t="inlineStr">
        <is>
          <t>แท็ก (คั่นด้วย ,)</t>
        </is>
      </c>
      <c r="H2" s="41" t="inlineStr">
        <is>
          <t>ระดับราคา 1–4</t>
        </is>
      </c>
      <c r="I2" s="41" t="inlineStr">
        <is>
          <t>คะแนน Google</t>
        </is>
      </c>
      <c r="J2" s="42" t="inlineStr">
        <is>
          <t>จันทร์</t>
        </is>
      </c>
      <c r="K2" s="43" t="inlineStr">
        <is>
          <t>อังคาร</t>
        </is>
      </c>
      <c r="L2" s="43" t="inlineStr">
        <is>
          <t>พุธ</t>
        </is>
      </c>
      <c r="M2" s="43" t="inlineStr">
        <is>
          <t>พฤหัสฯ</t>
        </is>
      </c>
      <c r="N2" s="43" t="inlineStr">
        <is>
          <t>ศุกร์</t>
        </is>
      </c>
      <c r="O2" s="43" t="inlineStr">
        <is>
          <t>เสาร์</t>
        </is>
      </c>
      <c r="P2" s="43" t="inlineStr">
        <is>
          <t>อาทิตย์</t>
        </is>
      </c>
      <c r="Q2" s="44" t="inlineStr">
        <is>
          <t>เวลาที่อยู่ (นาที)</t>
        </is>
      </c>
      <c r="R2" s="45" t="inlineStr">
        <is>
          <t>ค่าเข้า (บาท/คน)</t>
        </is>
      </c>
      <c r="S2" s="45" t="inlineStr">
        <is>
          <t>คำอธิบายสั้น (≤120 ตัวอักษร)</t>
        </is>
      </c>
      <c r="T2" s="45" t="inlineStr">
        <is>
          <t>รวมอาหารเช้า (ที่พักเท่านั้น)</t>
        </is>
      </c>
      <c r="U2" s="46" t="inlineStr">
        <is>
          <t>ใช้เป็นมื้อหลักได้</t>
        </is>
      </c>
      <c r="V2" s="47" t="inlineStr">
        <is>
          <t>ต้องตรวจ</t>
        </is>
      </c>
      <c r="W2" s="47" t="inlineStr">
        <is>
          <t>หมายเหตุ</t>
        </is>
      </c>
      <c r="X2" s="48" t="inlineStr">
        <is>
          <t>ประเภทเดิม</t>
        </is>
      </c>
      <c r="Y2" s="49" t="inlineStr">
        <is>
          <t>ใกล้แหล่งท่องเที่ยว</t>
        </is>
      </c>
      <c r="Z2" s="49" t="inlineStr">
        <is>
          <t>ระยะ (กม.)</t>
        </is>
      </c>
      <c r="AA2" s="49" t="inlineStr">
        <is>
          <t>ชื่อใน Google</t>
        </is>
      </c>
      <c r="AB2" s="49" t="inlineStr">
        <is>
          <t>จำนวนรีวิว</t>
        </is>
      </c>
      <c r="AC2" s="49" t="inlineStr">
        <is>
          <t>หมวดใน Google</t>
        </is>
      </c>
      <c r="AD2" s="49" t="inlineStr">
        <is>
          <t>ที่มาเวลาเปิด</t>
        </is>
      </c>
      <c r="AE2" s="49" t="inlineStr">
        <is>
          <t>เวลาเปิด (ตารางเดิม)</t>
        </is>
      </c>
      <c r="AF2" s="49" t="inlineStr">
        <is>
          <t>ที่มาระดับราคา</t>
        </is>
      </c>
      <c r="AG2" s="49" t="inlineStr">
        <is>
          <t>ค่าเข้าคนไทย</t>
        </is>
      </c>
      <c r="AH2" s="49" t="inlineStr">
        <is>
          <t>ที่อยู่</t>
        </is>
      </c>
      <c r="AI2" s="49" t="inlineStr">
        <is>
          <t>เบอร์โทร</t>
        </is>
      </c>
      <c r="AJ2" s="49" t="inlineStr">
        <is>
          <t>Google place_id</t>
        </is>
      </c>
      <c r="AK2" s="49" t="inlineStr">
        <is>
          <t>ลิงก์ Google Maps</t>
        </is>
      </c>
    </row>
    <row r="3" ht="20" customHeight="1">
      <c r="A3" s="50" t="inlineStr">
        <is>
          <t>bangkok-attraction-asiatique-the-riverfront</t>
        </is>
      </c>
      <c r="B3" s="51" t="inlineStr">
        <is>
          <t>attraction</t>
        </is>
      </c>
      <c r="C3" s="52" t="inlineStr">
        <is>
          <t>Asiatique The Riverfront</t>
        </is>
      </c>
      <c r="D3" s="53" t="inlineStr">
        <is>
          <t>ริมแม่น้ำเจ้าพระยา</t>
        </is>
      </c>
      <c r="E3" s="54" t="n">
        <v>13.70442</v>
      </c>
      <c r="F3" s="55" t="n">
        <v>100.50327</v>
      </c>
      <c r="G3" s="56" t="inlineStr">
        <is>
          <t>shopping,nightlife,viewpoint,family</t>
        </is>
      </c>
      <c r="H3" s="51" t="n">
        <v>2</v>
      </c>
      <c r="I3" s="57" t="n"/>
      <c r="J3" s="58" t="inlineStr">
        <is>
          <t>16:00-24:00</t>
        </is>
      </c>
      <c r="K3" s="51" t="inlineStr">
        <is>
          <t>16:00-24:00</t>
        </is>
      </c>
      <c r="L3" s="51" t="inlineStr">
        <is>
          <t>16:00-24:00</t>
        </is>
      </c>
      <c r="M3" s="51" t="inlineStr">
        <is>
          <t>16:00-24:00</t>
        </is>
      </c>
      <c r="N3" s="51" t="inlineStr">
        <is>
          <t>16:00-24:00</t>
        </is>
      </c>
      <c r="O3" s="51" t="inlineStr">
        <is>
          <t>16:00-24:00</t>
        </is>
      </c>
      <c r="P3" s="51" t="inlineStr">
        <is>
          <t>16:00-24:00</t>
        </is>
      </c>
      <c r="Q3" s="58" t="n">
        <v>120</v>
      </c>
      <c r="R3" s="59" t="n">
        <v>0</v>
      </c>
      <c r="S3" s="53" t="inlineStr">
        <is>
          <t>ตลาดกลางคืนริมแม่น้ำในโกดังเก่า มีร้านค้า ร้านอาหาร และชิงช้าสวรรค์</t>
        </is>
      </c>
      <c r="T3" s="51" t="n"/>
      <c r="U3" s="58" t="n"/>
      <c r="V3" s="53" t="inlineStr">
        <is>
          <t>ไม่มี rating</t>
        </is>
      </c>
      <c r="W3" s="53" t="inlineStr">
        <is>
          <t>Google ไม่คืนข้อมูล เวลาเปิดเป็นค่าประมาณ (บางโซนเปิดตั้งแต่ 11:00) / ไม่มี rating</t>
        </is>
      </c>
      <c r="X3" s="60" t="inlineStr">
        <is>
          <t>แหล่งท่องเที่ยว</t>
        </is>
      </c>
      <c r="Y3" s="61" t="n"/>
      <c r="Z3" s="62" t="n"/>
      <c r="AA3" s="61" t="n"/>
      <c r="AB3" s="63" t="n"/>
      <c r="AC3" s="61" t="n"/>
      <c r="AD3" s="61" t="inlineStr">
        <is>
          <t>ประมาณการ/แหล่งข้อมูลอื่น</t>
        </is>
      </c>
      <c r="AE3" s="61" t="n"/>
      <c r="AF3" s="61" t="inlineStr">
        <is>
          <t>ประมาณการจากค่าเข้า</t>
        </is>
      </c>
      <c r="AG3" s="63" t="n">
        <v>0</v>
      </c>
      <c r="AH3" s="61" t="n"/>
      <c r="AI3" s="61" t="n"/>
      <c r="AJ3" s="61" t="n"/>
      <c r="AK3" s="64" t="inlineStr">
        <is>
          <t>เปิดแผนที่ ↗</t>
        </is>
      </c>
    </row>
    <row r="4" ht="20" customHeight="1">
      <c r="A4" s="50" t="inlineStr">
        <is>
          <t>bangkok-attraction-bacc</t>
        </is>
      </c>
      <c r="B4" s="51" t="inlineStr">
        <is>
          <t>attraction</t>
        </is>
      </c>
      <c r="C4" s="52" t="inlineStr">
        <is>
          <t>หอศิลปวัฒนธรรมแห่งกรุงเทพมหานคร (BACC)</t>
        </is>
      </c>
      <c r="D4" s="53" t="inlineStr">
        <is>
          <t>สยาม/ปทุมวัน</t>
        </is>
      </c>
      <c r="E4" s="54" t="n">
        <v>13.74673</v>
      </c>
      <c r="F4" s="55" t="n">
        <v>100.53022</v>
      </c>
      <c r="G4" s="56" t="inlineStr">
        <is>
          <t>artCulture</t>
        </is>
      </c>
      <c r="H4" s="51" t="n">
        <v>1</v>
      </c>
      <c r="I4" s="57" t="n">
        <v>4.6</v>
      </c>
      <c r="J4" s="58" t="n"/>
      <c r="K4" s="51" t="inlineStr">
        <is>
          <t>10:00-20:00</t>
        </is>
      </c>
      <c r="L4" s="51" t="inlineStr">
        <is>
          <t>10:00-20:00</t>
        </is>
      </c>
      <c r="M4" s="51" t="inlineStr">
        <is>
          <t>10:00-20:00</t>
        </is>
      </c>
      <c r="N4" s="51" t="inlineStr">
        <is>
          <t>10:00-20:00</t>
        </is>
      </c>
      <c r="O4" s="51" t="inlineStr">
        <is>
          <t>10:00-20:00</t>
        </is>
      </c>
      <c r="P4" s="51" t="inlineStr">
        <is>
          <t>10:00-20:00</t>
        </is>
      </c>
      <c r="Q4" s="58" t="n">
        <v>90</v>
      </c>
      <c r="R4" s="59" t="n">
        <v>0</v>
      </c>
      <c r="S4" s="53" t="inlineStr">
        <is>
          <t>หอศิลป์ร่วมสมัยใจกลางสยาม จัดนิทรรศการหมุนเวียน เข้าชมฟรี</t>
        </is>
      </c>
      <c r="T4" s="51" t="n"/>
      <c r="U4" s="58" t="n"/>
      <c r="V4" s="53" t="n"/>
      <c r="W4" s="53" t="inlineStr">
        <is>
          <t>ปิดวันจันทร์</t>
        </is>
      </c>
      <c r="X4" s="60" t="inlineStr">
        <is>
          <t>แหล่งท่องเที่ยว</t>
        </is>
      </c>
      <c r="Y4" s="61" t="n"/>
      <c r="Z4" s="62" t="n"/>
      <c r="AA4" s="61" t="inlineStr">
        <is>
          <t>หอศิลปวัฒนธรรมแห่งกรุงเทพมหานคร</t>
        </is>
      </c>
      <c r="AB4" s="63" t="n"/>
      <c r="AC4" s="61" t="inlineStr">
        <is>
          <t>ศูนย์งานศิลปะ, ห้องแสดงงานศิลปะ, สถานที่ท่องเที่ยว</t>
        </is>
      </c>
      <c r="AD4" s="61" t="inlineStr">
        <is>
          <t>แก้จาก Google (ดูหมายเหตุ)</t>
        </is>
      </c>
      <c r="AE4" s="61" t="n"/>
      <c r="AF4" s="61" t="inlineStr">
        <is>
          <t>ประมาณการจากค่าเข้า</t>
        </is>
      </c>
      <c r="AG4" s="63" t="n">
        <v>0</v>
      </c>
      <c r="AH4" s="61" t="inlineStr">
        <is>
          <t>หอศิลปวัฒนธรรมแห่งกรุงเทพมหานคร 939 ถ. พระรามที่ 1 แขวงวังใหม่ เขตปทุมวัน กรุงเทพมหานคร 10330</t>
        </is>
      </c>
      <c r="AI4" s="61" t="n"/>
      <c r="AJ4" s="61" t="inlineStr">
        <is>
          <t>ChIJfWxvUM2e4jARCxWWp4sC0B4</t>
        </is>
      </c>
      <c r="AK4" s="64" t="inlineStr">
        <is>
          <t>เปิดแผนที่ ↗</t>
        </is>
      </c>
    </row>
    <row r="5" ht="20" customHeight="1">
      <c r="A5" s="50" t="inlineStr">
        <is>
          <t>bangkok-attraction-bangkok-planetarium</t>
        </is>
      </c>
      <c r="B5" s="51" t="inlineStr">
        <is>
          <t>attraction</t>
        </is>
      </c>
      <c r="C5" s="52" t="inlineStr">
        <is>
          <t>ท้องฟ้าจำลองกรุงเทพ (เอกมัย)</t>
        </is>
      </c>
      <c r="D5" s="53" t="inlineStr">
        <is>
          <t>เอกมัย</t>
        </is>
      </c>
      <c r="E5" s="54" t="n">
        <v>13.71954</v>
      </c>
      <c r="F5" s="55" t="n">
        <v>100.58278</v>
      </c>
      <c r="G5" s="56" t="inlineStr">
        <is>
          <t>family,artCulture</t>
        </is>
      </c>
      <c r="H5" s="51" t="n">
        <v>1</v>
      </c>
      <c r="I5" s="57" t="n">
        <v>4.2</v>
      </c>
      <c r="J5" s="58" t="n"/>
      <c r="K5" s="51" t="inlineStr">
        <is>
          <t>09:00-16:00</t>
        </is>
      </c>
      <c r="L5" s="51" t="inlineStr">
        <is>
          <t>09:00-16:00</t>
        </is>
      </c>
      <c r="M5" s="51" t="inlineStr">
        <is>
          <t>09:00-16:00</t>
        </is>
      </c>
      <c r="N5" s="51" t="inlineStr">
        <is>
          <t>09:00-16:00</t>
        </is>
      </c>
      <c r="O5" s="51" t="inlineStr">
        <is>
          <t>09:00-16:00</t>
        </is>
      </c>
      <c r="P5" s="51" t="inlineStr">
        <is>
          <t>09:00-16:00</t>
        </is>
      </c>
      <c r="Q5" s="58" t="n">
        <v>90</v>
      </c>
      <c r="R5" s="59" t="n">
        <v>200</v>
      </c>
      <c r="S5" s="53" t="inlineStr">
        <is>
          <t>ท้องฟ้าจำลองแห่งแรกของไทย มีการฉายดาวและนิทรรศการวิทยาศาสตร์</t>
        </is>
      </c>
      <c r="T5" s="51" t="n"/>
      <c r="U5" s="58" t="n"/>
      <c r="V5" s="53" t="inlineStr">
        <is>
          <t>ตรวจเวลาเปิด</t>
        </is>
      </c>
      <c r="W5" s="53" t="inlineStr">
        <is>
          <t>ปิดวันจันทร์ / มีข่าวปิดปรับปรุงช่วงปี 2569 ต้องเช็กว่าเปิดแล้วหรือยังก่อนใช้</t>
        </is>
      </c>
      <c r="X5" s="60" t="inlineStr">
        <is>
          <t>แหล่งท่องเที่ยว</t>
        </is>
      </c>
      <c r="Y5" s="61" t="n"/>
      <c r="Z5" s="62" t="n"/>
      <c r="AA5" s="61" t="inlineStr">
        <is>
          <t>ศูนย์ส่งเสริมและพัฒนาการเรียนรู้ทางวิทยาศาสตร์ (ท้องฟ้าจำลองกรุงเทพ)</t>
        </is>
      </c>
      <c r="AB5" s="63" t="n"/>
      <c r="AC5" s="61" t="inlineStr">
        <is>
          <t>พิพิธภัณฑ์วิทยาศาสตร์, ท้องฟ้าจำลอง, สถานที่ท่องเที่ยว</t>
        </is>
      </c>
      <c r="AD5" s="61" t="inlineStr">
        <is>
          <t>แก้จาก Google (ดูหมายเหตุ)</t>
        </is>
      </c>
      <c r="AE5" s="61" t="n"/>
      <c r="AF5" s="61" t="inlineStr">
        <is>
          <t>ประมาณการจากค่าเข้า</t>
        </is>
      </c>
      <c r="AG5" s="63" t="n">
        <v>100</v>
      </c>
      <c r="AH5" s="61" t="inlineStr">
        <is>
          <t>ศูนย์ส่งเสริมและพัฒนาการเรียนรู้ทางวิทยาศาสตร์ (ท้องฟ้าจำลองกรุงเทพ) 928 ถ. สุขุมวิท แขวงพระโขนง เขตคลองเตย กรุงเทพมหานคร 10110</t>
        </is>
      </c>
      <c r="AI5" s="61" t="n"/>
      <c r="AJ5" s="61" t="inlineStr">
        <is>
          <t>ChIJnUa-d6Wf4jARp1M-LNKpKCw</t>
        </is>
      </c>
      <c r="AK5" s="64" t="inlineStr">
        <is>
          <t>เปิดแผนที่ ↗</t>
        </is>
      </c>
    </row>
    <row r="6" ht="20" customHeight="1">
      <c r="A6" s="50" t="inlineStr">
        <is>
          <t>bangkok-attraction-banthat-thong-road</t>
        </is>
      </c>
      <c r="B6" s="51" t="inlineStr">
        <is>
          <t>attraction</t>
        </is>
      </c>
      <c r="C6" s="52" t="inlineStr">
        <is>
          <t>บรรทัดทอง (ถ.บรรทัดทอง)</t>
        </is>
      </c>
      <c r="D6" s="53" t="inlineStr">
        <is>
          <t>บรรทัดทอง</t>
        </is>
      </c>
      <c r="E6" s="54" t="n">
        <v>13.7392</v>
      </c>
      <c r="F6" s="55" t="n">
        <v>100.5243</v>
      </c>
      <c r="G6" s="56" t="inlineStr">
        <is>
          <t>localFood,nightlife</t>
        </is>
      </c>
      <c r="H6" s="51" t="n">
        <v>1</v>
      </c>
      <c r="I6" s="57" t="n"/>
      <c r="J6" s="58" t="inlineStr">
        <is>
          <t>16:00-24:00</t>
        </is>
      </c>
      <c r="K6" s="51" t="inlineStr">
        <is>
          <t>16:00-24:00</t>
        </is>
      </c>
      <c r="L6" s="51" t="inlineStr">
        <is>
          <t>16:00-24:00</t>
        </is>
      </c>
      <c r="M6" s="51" t="inlineStr">
        <is>
          <t>16:00-24:00</t>
        </is>
      </c>
      <c r="N6" s="51" t="inlineStr">
        <is>
          <t>16:00-24:00</t>
        </is>
      </c>
      <c r="O6" s="51" t="inlineStr">
        <is>
          <t>16:00-24:00</t>
        </is>
      </c>
      <c r="P6" s="51" t="inlineStr">
        <is>
          <t>16:00-24:00</t>
        </is>
      </c>
      <c r="Q6" s="58" t="n">
        <v>90</v>
      </c>
      <c r="R6" s="59" t="n">
        <v>0</v>
      </c>
      <c r="S6" s="53" t="inlineStr">
        <is>
          <t>ถนนสตรีทฟู้ดย่านสามย่าน-จุฬาฯ ร้านอาหารและของหวานเปิดถึงดึก</t>
        </is>
      </c>
      <c r="T6" s="51" t="n"/>
      <c r="U6" s="58" t="n"/>
      <c r="V6" s="53" t="inlineStr">
        <is>
          <t>ไม่มี rating; ตรวจเวลาเปิด</t>
        </is>
      </c>
      <c r="W6" s="53" t="inlineStr">
        <is>
          <t>เป็นถนน ไม่มีเวลาทำการทางการ ใช้ช่วงที่ร้านส่วนใหญ่เปิด (ประมาณการ) / Google ไม่มี rating</t>
        </is>
      </c>
      <c r="X6" s="60" t="inlineStr">
        <is>
          <t>แหล่งท่องเที่ยว</t>
        </is>
      </c>
      <c r="Y6" s="61" t="n"/>
      <c r="Z6" s="62" t="n"/>
      <c r="AA6" s="61" t="inlineStr">
        <is>
          <t>ถนน บรรทัดทอง</t>
        </is>
      </c>
      <c r="AB6" s="63" t="n"/>
      <c r="AC6" s="61" t="n"/>
      <c r="AD6" s="61" t="inlineStr">
        <is>
          <t>ประมาณการ/แหล่งข้อมูลอื่น</t>
        </is>
      </c>
      <c r="AE6" s="61" t="n"/>
      <c r="AF6" s="61" t="inlineStr">
        <is>
          <t>ประมาณการจากค่าเข้า</t>
        </is>
      </c>
      <c r="AG6" s="63" t="n">
        <v>0</v>
      </c>
      <c r="AH6" s="61" t="inlineStr">
        <is>
          <t>ถนน บรรทัดทอง กรุงเทพมหานคร</t>
        </is>
      </c>
      <c r="AI6" s="61" t="n"/>
      <c r="AJ6" s="61" t="inlineStr">
        <is>
          <t>ChIJCeI1ky2Z4jARzlbzs6UHjXs</t>
        </is>
      </c>
      <c r="AK6" s="64" t="inlineStr">
        <is>
          <t>เปิดแผนที่ ↗</t>
        </is>
      </c>
    </row>
    <row r="7" ht="20" customHeight="1">
      <c r="A7" s="50" t="inlineStr">
        <is>
          <t>bangkok-attraction-benjakitti-park</t>
        </is>
      </c>
      <c r="B7" s="51" t="inlineStr">
        <is>
          <t>attraction</t>
        </is>
      </c>
      <c r="C7" s="52" t="inlineStr">
        <is>
          <t>สวนเบญจกิติ</t>
        </is>
      </c>
      <c r="D7" s="53" t="inlineStr">
        <is>
          <t>สุขุมวิท</t>
        </is>
      </c>
      <c r="E7" s="54" t="n">
        <v>13.72923</v>
      </c>
      <c r="F7" s="55" t="n">
        <v>100.55873</v>
      </c>
      <c r="G7" s="56" t="inlineStr">
        <is>
          <t>nature,viewpoint</t>
        </is>
      </c>
      <c r="H7" s="51" t="n">
        <v>1</v>
      </c>
      <c r="I7" s="57" t="n">
        <v>4.6</v>
      </c>
      <c r="J7" s="58" t="inlineStr">
        <is>
          <t>04:30-22:00</t>
        </is>
      </c>
      <c r="K7" s="51" t="inlineStr">
        <is>
          <t>04:30-22:00</t>
        </is>
      </c>
      <c r="L7" s="51" t="inlineStr">
        <is>
          <t>04:30-22:00</t>
        </is>
      </c>
      <c r="M7" s="51" t="inlineStr">
        <is>
          <t>04:30-22:00</t>
        </is>
      </c>
      <c r="N7" s="51" t="inlineStr">
        <is>
          <t>04:30-22:00</t>
        </is>
      </c>
      <c r="O7" s="51" t="inlineStr">
        <is>
          <t>04:30-22:00</t>
        </is>
      </c>
      <c r="P7" s="51" t="inlineStr">
        <is>
          <t>04:30-22:00</t>
        </is>
      </c>
      <c r="Q7" s="58" t="n">
        <v>90</v>
      </c>
      <c r="R7" s="59" t="n">
        <v>0</v>
      </c>
      <c r="S7" s="53" t="inlineStr">
        <is>
          <t>สวนป่ากลางเมืองย่านอโศก มีทางเดินลอยฟ้าชมสวนและบึงน้ำ</t>
        </is>
      </c>
      <c r="T7" s="51" t="n"/>
      <c r="U7" s="58" t="n"/>
      <c r="V7" s="53" t="n"/>
      <c r="W7" s="53" t="n"/>
      <c r="X7" s="60" t="inlineStr">
        <is>
          <t>แหล่งท่องเที่ยว</t>
        </is>
      </c>
      <c r="Y7" s="61" t="n"/>
      <c r="Z7" s="62" t="n"/>
      <c r="AA7" s="61" t="inlineStr">
        <is>
          <t>สวนเบญจกิติ</t>
        </is>
      </c>
      <c r="AB7" s="63" t="n">
        <v>11276</v>
      </c>
      <c r="AC7" s="61" t="inlineStr">
        <is>
          <t>สวนสาธารณะของเมือง</t>
        </is>
      </c>
      <c r="AD7" s="61" t="inlineStr">
        <is>
          <t>Google Maps (รายวัน)</t>
        </is>
      </c>
      <c r="AE7" s="61" t="n"/>
      <c r="AF7" s="61" t="inlineStr">
        <is>
          <t>ประมาณการจากค่าเข้า</t>
        </is>
      </c>
      <c r="AG7" s="63" t="n">
        <v>0</v>
      </c>
      <c r="AH7" s="61" t="inlineStr">
        <is>
          <t>สวนเบญจกิติ ถ. รัชดาภิเษก แขวงคลองเตย เขตคลองเตย กรุงเทพมหานคร 10110</t>
        </is>
      </c>
      <c r="AI7" s="61" t="n"/>
      <c r="AJ7" s="61" t="inlineStr">
        <is>
          <t>ChIJmfMfvBuf4jAR9rugvZd5Lyc</t>
        </is>
      </c>
      <c r="AK7" s="64" t="inlineStr">
        <is>
          <t>เปิดแผนที่ ↗</t>
        </is>
      </c>
    </row>
    <row r="8" ht="20" customHeight="1">
      <c r="A8" s="50" t="inlineStr">
        <is>
          <t>bangkok-attraction-chatuchak</t>
        </is>
      </c>
      <c r="B8" s="51" t="inlineStr">
        <is>
          <t>attraction</t>
        </is>
      </c>
      <c r="C8" s="52" t="inlineStr">
        <is>
          <t>ตลาดจตุจักร</t>
        </is>
      </c>
      <c r="D8" s="53" t="inlineStr">
        <is>
          <t>จตุจักร</t>
        </is>
      </c>
      <c r="E8" s="54" t="n">
        <v>13.79978</v>
      </c>
      <c r="F8" s="55" t="n">
        <v>100.55042</v>
      </c>
      <c r="G8" s="56" t="inlineStr">
        <is>
          <t>shopping,localFood</t>
        </is>
      </c>
      <c r="H8" s="51" t="n">
        <v>1</v>
      </c>
      <c r="I8" s="57" t="n">
        <v>4.4</v>
      </c>
      <c r="J8" s="58" t="n"/>
      <c r="K8" s="51" t="n"/>
      <c r="L8" s="51" t="n"/>
      <c r="M8" s="51" t="n"/>
      <c r="N8" s="51" t="n"/>
      <c r="O8" s="51" t="inlineStr">
        <is>
          <t>09:00-18:00</t>
        </is>
      </c>
      <c r="P8" s="51" t="inlineStr">
        <is>
          <t>09:00-18:00</t>
        </is>
      </c>
      <c r="Q8" s="58" t="n">
        <v>180</v>
      </c>
      <c r="R8" s="59" t="n">
        <v>0</v>
      </c>
      <c r="S8" s="53" t="inlineStr">
        <is>
          <t>ตลาดนัดสุดสัปดาห์ขนาดใหญ่ ร้านค้ากว่าหมื่นร้าน</t>
        </is>
      </c>
      <c r="T8" s="51" t="n"/>
      <c r="U8" s="58" t="n"/>
      <c r="V8" s="53" t="n"/>
      <c r="W8" s="53" t="inlineStr">
        <is>
          <t>id ตรงกับที่มีอยู่แล้วใน bangkok.json / Google ไม่คืนข้อมูล ใช้ rating และเวลาจากของเดิม</t>
        </is>
      </c>
      <c r="X8" s="60" t="inlineStr">
        <is>
          <t>แหล่งท่องเที่ยว</t>
        </is>
      </c>
      <c r="Y8" s="61" t="n"/>
      <c r="Z8" s="62" t="n"/>
      <c r="AA8" s="61" t="n"/>
      <c r="AB8" s="63" t="n"/>
      <c r="AC8" s="61" t="n"/>
      <c r="AD8" s="61" t="inlineStr">
        <is>
          <t>ประมาณการ/แหล่งข้อมูลอื่น</t>
        </is>
      </c>
      <c r="AE8" s="61" t="n"/>
      <c r="AF8" s="61" t="inlineStr">
        <is>
          <t>ประมาณการจากค่าเข้า</t>
        </is>
      </c>
      <c r="AG8" s="63" t="n">
        <v>0</v>
      </c>
      <c r="AH8" s="61" t="n"/>
      <c r="AI8" s="61" t="n"/>
      <c r="AJ8" s="61" t="n"/>
      <c r="AK8" s="64" t="inlineStr">
        <is>
          <t>เปิดแผนที่ ↗</t>
        </is>
      </c>
    </row>
    <row r="9" ht="20" customHeight="1">
      <c r="A9" s="50" t="inlineStr">
        <is>
          <t>bangkok-attraction-grand-palace</t>
        </is>
      </c>
      <c r="B9" s="51" t="inlineStr">
        <is>
          <t>attraction</t>
        </is>
      </c>
      <c r="C9" s="52" t="inlineStr">
        <is>
          <t>วัดพระศรีรัตนศาสดาราม (วัดพระแก้ว)</t>
        </is>
      </c>
      <c r="D9" s="53" t="inlineStr">
        <is>
          <t>เกาะรัตนโกสินทร์</t>
        </is>
      </c>
      <c r="E9" s="54" t="n">
        <v>13.7515</v>
      </c>
      <c r="F9" s="55" t="n">
        <v>100.4927</v>
      </c>
      <c r="G9" s="56" t="inlineStr">
        <is>
          <t>templeHistory,artCulture</t>
        </is>
      </c>
      <c r="H9" s="51" t="n">
        <v>2</v>
      </c>
      <c r="I9" s="57" t="n">
        <v>4.6</v>
      </c>
      <c r="J9" s="58" t="inlineStr">
        <is>
          <t>08:30-15:30</t>
        </is>
      </c>
      <c r="K9" s="51" t="inlineStr">
        <is>
          <t>08:30-15:30</t>
        </is>
      </c>
      <c r="L9" s="51" t="inlineStr">
        <is>
          <t>08:30-15:30</t>
        </is>
      </c>
      <c r="M9" s="51" t="inlineStr">
        <is>
          <t>08:30-15:30</t>
        </is>
      </c>
      <c r="N9" s="51" t="inlineStr">
        <is>
          <t>08:30-15:30</t>
        </is>
      </c>
      <c r="O9" s="51" t="inlineStr">
        <is>
          <t>08:30-15:30</t>
        </is>
      </c>
      <c r="P9" s="51" t="inlineStr">
        <is>
          <t>08:30-15:30</t>
        </is>
      </c>
      <c r="Q9" s="58" t="n">
        <v>120</v>
      </c>
      <c r="R9" s="59" t="n">
        <v>500</v>
      </c>
      <c r="S9" s="53" t="inlineStr">
        <is>
          <t>พระราชวังและวัดพระแก้ว สถาปัตยกรรมไทยที่งดงามที่สุดแห่งหนึ่ง</t>
        </is>
      </c>
      <c r="T9" s="51" t="n"/>
      <c r="U9" s="58" t="n"/>
      <c r="V9" s="53" t="n"/>
      <c r="W9" s="53" t="inlineStr">
        <is>
          <t>id ตรงกับที่มีอยู่แล้วใน bangkok.json (แทนที่ของเดิม) / คนไทยเข้าฟรี</t>
        </is>
      </c>
      <c r="X9" s="60" t="inlineStr">
        <is>
          <t>แหล่งท่องเที่ยว</t>
        </is>
      </c>
      <c r="Y9" s="61" t="n"/>
      <c r="Z9" s="62" t="n"/>
      <c r="AA9" s="61" t="inlineStr">
        <is>
          <t>พระบรมมหาราชวัง</t>
        </is>
      </c>
      <c r="AB9" s="63" t="n">
        <v>80321</v>
      </c>
      <c r="AC9" s="61" t="inlineStr">
        <is>
          <t>ปราสาท, สถานที่สำคัญทางวัฒนธรรม, สถานที่สำคัญทางประวัติศาสตร์, อุทยาน, สถานที่ท่องเที่ยว</t>
        </is>
      </c>
      <c r="AD9" s="61" t="inlineStr">
        <is>
          <t>Google Maps (รายวัน)</t>
        </is>
      </c>
      <c r="AE9" s="61" t="n"/>
      <c r="AF9" s="61" t="inlineStr">
        <is>
          <t>ประมาณการจากค่าเข้า</t>
        </is>
      </c>
      <c r="AG9" s="63" t="n">
        <v>0</v>
      </c>
      <c r="AH9" s="61" t="inlineStr">
        <is>
          <t>พระบรมมหาราชวัง แขวงพระบรมมหาราชวัง เขตพระนคร กรุงเทพมหานคร 10200</t>
        </is>
      </c>
      <c r="AI9" s="61" t="n"/>
      <c r="AJ9" s="61" t="inlineStr">
        <is>
          <t>ChIJPzZsMU6Z4jARQUzvk913bCo</t>
        </is>
      </c>
      <c r="AK9" s="64" t="inlineStr">
        <is>
          <t>เปิดแผนที่ ↗</t>
        </is>
      </c>
    </row>
    <row r="10" ht="20" customHeight="1">
      <c r="A10" s="50" t="inlineStr">
        <is>
          <t>bangkok-attraction-iconsiam</t>
        </is>
      </c>
      <c r="B10" s="51" t="inlineStr">
        <is>
          <t>attraction</t>
        </is>
      </c>
      <c r="C10" s="52" t="inlineStr">
        <is>
          <t>ไอคอนสยาม</t>
        </is>
      </c>
      <c r="D10" s="53" t="inlineStr">
        <is>
          <t>ริมแม่น้ำเจ้าพระยา</t>
        </is>
      </c>
      <c r="E10" s="54" t="n">
        <v>13.72623</v>
      </c>
      <c r="F10" s="55" t="n">
        <v>100.51045</v>
      </c>
      <c r="G10" s="56" t="inlineStr">
        <is>
          <t>shopping,viewpoint,family</t>
        </is>
      </c>
      <c r="H10" s="51" t="n">
        <v>2</v>
      </c>
      <c r="I10" s="57" t="n">
        <v>4.7</v>
      </c>
      <c r="J10" s="58" t="inlineStr">
        <is>
          <t>10:00-22:00</t>
        </is>
      </c>
      <c r="K10" s="51" t="inlineStr">
        <is>
          <t>10:00-22:00</t>
        </is>
      </c>
      <c r="L10" s="51" t="inlineStr">
        <is>
          <t>10:00-22:00</t>
        </is>
      </c>
      <c r="M10" s="51" t="inlineStr">
        <is>
          <t>10:00-22:00</t>
        </is>
      </c>
      <c r="N10" s="51" t="inlineStr">
        <is>
          <t>10:00-22:00</t>
        </is>
      </c>
      <c r="O10" s="51" t="inlineStr">
        <is>
          <t>10:00-22:00</t>
        </is>
      </c>
      <c r="P10" s="51" t="inlineStr">
        <is>
          <t>10:00-22:00</t>
        </is>
      </c>
      <c r="Q10" s="58" t="n">
        <v>150</v>
      </c>
      <c r="R10" s="59" t="n">
        <v>0</v>
      </c>
      <c r="S10" s="53" t="inlineStr">
        <is>
          <t>ห้างริมแม่น้ำเจ้าพระยา มีสุขสยามจำลองตลาดไทยสี่ภาค และร้านอาหารมากมาย</t>
        </is>
      </c>
      <c r="T10" s="51" t="n"/>
      <c r="U10" s="58" t="n"/>
      <c r="V10" s="53" t="n"/>
      <c r="W10" s="53" t="n"/>
      <c r="X10" s="60" t="inlineStr">
        <is>
          <t>แหล่งท่องเที่ยว</t>
        </is>
      </c>
      <c r="Y10" s="61" t="n"/>
      <c r="Z10" s="62" t="n"/>
      <c r="AA10" s="61" t="inlineStr">
        <is>
          <t>ไอคอนสยาม</t>
        </is>
      </c>
      <c r="AB10" s="63" t="n">
        <v>60286</v>
      </c>
      <c r="AC10" s="61" t="inlineStr">
        <is>
          <t>ศูนย์การค้า</t>
        </is>
      </c>
      <c r="AD10" s="61" t="inlineStr">
        <is>
          <t>Google Maps (รายวัน)</t>
        </is>
      </c>
      <c r="AE10" s="61" t="n"/>
      <c r="AF10" s="61" t="inlineStr">
        <is>
          <t>ประมาณการจากค่าเข้า</t>
        </is>
      </c>
      <c r="AG10" s="63" t="n">
        <v>0</v>
      </c>
      <c r="AH10" s="61" t="inlineStr">
        <is>
          <t>ไอคอนสยาม 299 ถ. เจริญนคร แขวงคลองต้นไทร คลองสาน กรุงเทพมหานคร 10600</t>
        </is>
      </c>
      <c r="AI10" s="61" t="n"/>
      <c r="AJ10" s="61" t="inlineStr">
        <is>
          <t>ChIJFRjwgc2Z4jAR9JIadoa9YBY</t>
        </is>
      </c>
      <c r="AK10" s="64" t="inlineStr">
        <is>
          <t>เปิดแผนที่ ↗</t>
        </is>
      </c>
    </row>
    <row r="11" ht="20" customHeight="1">
      <c r="A11" s="50" t="inlineStr">
        <is>
          <t>bangkok-attraction-khlong-bang-luang-artist-house</t>
        </is>
      </c>
      <c r="B11" s="51" t="inlineStr">
        <is>
          <t>attraction</t>
        </is>
      </c>
      <c r="C11" s="52" t="inlineStr">
        <is>
          <t>คลองบางหลวง (Artist House / ตลาดน้ำคลองบางหลวง ภาษีเจริญ)</t>
        </is>
      </c>
      <c r="D11" s="53" t="inlineStr">
        <is>
          <t>คลองบางหลวง</t>
        </is>
      </c>
      <c r="E11" s="54" t="n">
        <v>13.7312</v>
      </c>
      <c r="F11" s="55" t="n">
        <v>100.4633</v>
      </c>
      <c r="G11" s="56" t="inlineStr">
        <is>
          <t>artCulture,cafe</t>
        </is>
      </c>
      <c r="H11" s="51" t="n">
        <v>1</v>
      </c>
      <c r="I11" s="57" t="n">
        <v>4.6</v>
      </c>
      <c r="J11" s="58" t="inlineStr">
        <is>
          <t>10:00-18:00</t>
        </is>
      </c>
      <c r="K11" s="51" t="inlineStr">
        <is>
          <t>10:00-18:00</t>
        </is>
      </c>
      <c r="L11" s="51" t="inlineStr">
        <is>
          <t>10:00-18:00</t>
        </is>
      </c>
      <c r="M11" s="51" t="inlineStr">
        <is>
          <t>10:00-18:00</t>
        </is>
      </c>
      <c r="N11" s="51" t="inlineStr">
        <is>
          <t>10:00-18:00</t>
        </is>
      </c>
      <c r="O11" s="51" t="inlineStr">
        <is>
          <t>10:00-19:00</t>
        </is>
      </c>
      <c r="P11" s="51" t="inlineStr">
        <is>
          <t>10:00-18:00</t>
        </is>
      </c>
      <c r="Q11" s="58" t="n">
        <v>90</v>
      </c>
      <c r="R11" s="59" t="n">
        <v>0</v>
      </c>
      <c r="S11" s="53" t="inlineStr">
        <is>
          <t>บ้านไม้เก่าริมคลองบางหลวง มีแกลเลอรีศิลปะ คาเฟ่ และการแสดงหุ่นละครเล็ก</t>
        </is>
      </c>
      <c r="T11" s="51" t="n"/>
      <c r="U11" s="58" t="n"/>
      <c r="V11" s="53" t="n"/>
      <c r="W11" s="53" t="n"/>
      <c r="X11" s="60" t="inlineStr">
        <is>
          <t>แหล่งท่องเที่ยว</t>
        </is>
      </c>
      <c r="Y11" s="61" t="n"/>
      <c r="Z11" s="62" t="n"/>
      <c r="AA11" s="61" t="inlineStr">
        <is>
          <t>บ้านศิลปินคลองบางหลวง</t>
        </is>
      </c>
      <c r="AB11" s="63" t="n">
        <v>3347</v>
      </c>
      <c r="AC11" s="61" t="inlineStr">
        <is>
          <t>สถานที่ท่องเที่ยว, คาเฟ่ศิลปะ, ห้องแสดงงานศิลปะ, ร้านกาแฟ, ร้านของที่ระลึก</t>
        </is>
      </c>
      <c r="AD11" s="61" t="inlineStr">
        <is>
          <t>Google Maps (รายวัน)</t>
        </is>
      </c>
      <c r="AE11" s="61" t="n"/>
      <c r="AF11" s="61" t="inlineStr">
        <is>
          <t>ประมาณการจากค่าเข้า</t>
        </is>
      </c>
      <c r="AG11" s="63" t="n">
        <v>0</v>
      </c>
      <c r="AH11" s="61" t="inlineStr">
        <is>
          <t>บ้านศิลปินคลองบางหลวง 309 ถ. เพชรเกษม แขวงคูหาสวรรค์ เขตภาษีเจริญ กรุงเทพมหานคร 10160</t>
        </is>
      </c>
      <c r="AI11" s="61" t="n"/>
      <c r="AJ11" s="61" t="inlineStr">
        <is>
          <t>ChIJF6uVAzt9HTEROKM0WKZMU7M</t>
        </is>
      </c>
      <c r="AK11" s="64" t="inlineStr">
        <is>
          <t>เปิดแผนที่ ↗</t>
        </is>
      </c>
    </row>
    <row r="12" ht="20" customHeight="1">
      <c r="A12" s="50" t="inlineStr">
        <is>
          <t>bangkok-attraction-mahanakhon-skywalk</t>
        </is>
      </c>
      <c r="B12" s="51" t="inlineStr">
        <is>
          <t>attraction</t>
        </is>
      </c>
      <c r="C12" s="52" t="inlineStr">
        <is>
          <t>SkyWalk King Power Mahanakhon (คิงเพาเวอร์ มหานคร)</t>
        </is>
      </c>
      <c r="D12" s="53" t="inlineStr">
        <is>
          <t>สีลม</t>
        </is>
      </c>
      <c r="E12" s="54" t="n">
        <v>13.72401</v>
      </c>
      <c r="F12" s="55" t="n">
        <v>100.52848</v>
      </c>
      <c r="G12" s="56" t="inlineStr">
        <is>
          <t>viewpoint,nightlife</t>
        </is>
      </c>
      <c r="H12" s="51" t="n">
        <v>3</v>
      </c>
      <c r="I12" s="57" t="n">
        <v>4.7</v>
      </c>
      <c r="J12" s="58" t="inlineStr">
        <is>
          <t>10:00-19:00</t>
        </is>
      </c>
      <c r="K12" s="51" t="inlineStr">
        <is>
          <t>10:00-19:00</t>
        </is>
      </c>
      <c r="L12" s="51" t="inlineStr">
        <is>
          <t>10:00-19:00</t>
        </is>
      </c>
      <c r="M12" s="51" t="inlineStr">
        <is>
          <t>10:00-19:00</t>
        </is>
      </c>
      <c r="N12" s="51" t="inlineStr">
        <is>
          <t>10:00-19:00</t>
        </is>
      </c>
      <c r="O12" s="51" t="inlineStr">
        <is>
          <t>10:00-19:00</t>
        </is>
      </c>
      <c r="P12" s="51" t="inlineStr">
        <is>
          <t>10:00-19:00</t>
        </is>
      </c>
      <c r="Q12" s="58" t="n">
        <v>90</v>
      </c>
      <c r="R12" s="59" t="n">
        <v>880</v>
      </c>
      <c r="S12" s="53" t="inlineStr">
        <is>
          <t>จุดชมวิวพื้นกระจกชั้น 78 ตึกคิงเพาเวอร์ มหานคร หนึ่งในตึกที่สูงที่สุดของกรุงเทพฯ</t>
        </is>
      </c>
      <c r="T12" s="51" t="n"/>
      <c r="U12" s="58" t="n"/>
      <c r="V12" s="53" t="n"/>
      <c r="W12" s="53" t="inlineStr">
        <is>
          <t>ค่าเข้า 880 บาทคือรอบกลางวัน รอบพระอาทิตย์ตก 1,080 บาท / Google คืนเวลาของตัวตึก (10:00–24:00) จึงใช้เวลาเปิด SkyWalk แทน</t>
        </is>
      </c>
      <c r="X12" s="60" t="inlineStr">
        <is>
          <t>แหล่งท่องเที่ยว</t>
        </is>
      </c>
      <c r="Y12" s="61" t="n"/>
      <c r="Z12" s="62" t="n"/>
      <c r="AA12" s="61" t="inlineStr">
        <is>
          <t>ตึกคิงเพาเวอร์ มหานคร</t>
        </is>
      </c>
      <c r="AB12" s="63" t="n"/>
      <c r="AC12" s="61" t="inlineStr">
        <is>
          <t>สถานที่ท่องเที่ยว, บาร์, ร้านค้า</t>
        </is>
      </c>
      <c r="AD12" s="61" t="inlineStr">
        <is>
          <t>แก้จาก Google (ดูหมายเหตุ)</t>
        </is>
      </c>
      <c r="AE12" s="61" t="n"/>
      <c r="AF12" s="61" t="inlineStr">
        <is>
          <t>ประมาณการจากค่าเข้า</t>
        </is>
      </c>
      <c r="AG12" s="63" t="n">
        <v>880</v>
      </c>
      <c r="AH12" s="61" t="inlineStr">
        <is>
          <t>ตึกคิงเพาเวอร์ มหานคร 114 ถนน นราธิวาสราชนครินทร์ แขวงสีลม เขตบางรัก กรุงเทพมหานคร 10500</t>
        </is>
      </c>
      <c r="AI12" s="61" t="n"/>
      <c r="AJ12" s="61" t="inlineStr">
        <is>
          <t>ChIJGzV2mdKY4jARdIb62T7BoE4</t>
        </is>
      </c>
      <c r="AK12" s="64" t="inlineStr">
        <is>
          <t>เปิดแผนที่ ↗</t>
        </is>
      </c>
    </row>
    <row r="13" ht="20" customHeight="1">
      <c r="A13" s="50" t="inlineStr">
        <is>
          <t>bangkok-attraction-memorial-bridge</t>
        </is>
      </c>
      <c r="B13" s="51" t="inlineStr">
        <is>
          <t>attraction</t>
        </is>
      </c>
      <c r="C13" s="52" t="inlineStr">
        <is>
          <t>สะพานพระพุทธยอดฟ้า (สะพานพุทธ)</t>
        </is>
      </c>
      <c r="D13" s="53" t="inlineStr">
        <is>
          <t>ปากคลองตลาด</t>
        </is>
      </c>
      <c r="E13" s="54" t="n">
        <v>13.73928</v>
      </c>
      <c r="F13" s="55" t="n">
        <v>100.4976</v>
      </c>
      <c r="G13" s="56" t="inlineStr">
        <is>
          <t>viewpoint,templeHistory</t>
        </is>
      </c>
      <c r="H13" s="51" t="n">
        <v>1</v>
      </c>
      <c r="I13" s="57" t="n">
        <v>4.7</v>
      </c>
      <c r="J13" s="58" t="inlineStr">
        <is>
          <t>00:00-24:00</t>
        </is>
      </c>
      <c r="K13" s="51" t="inlineStr">
        <is>
          <t>00:00-24:00</t>
        </is>
      </c>
      <c r="L13" s="51" t="inlineStr">
        <is>
          <t>00:00-24:00</t>
        </is>
      </c>
      <c r="M13" s="51" t="inlineStr">
        <is>
          <t>00:00-24:00</t>
        </is>
      </c>
      <c r="N13" s="51" t="inlineStr">
        <is>
          <t>00:00-24:00</t>
        </is>
      </c>
      <c r="O13" s="51" t="inlineStr">
        <is>
          <t>00:00-24:00</t>
        </is>
      </c>
      <c r="P13" s="51" t="inlineStr">
        <is>
          <t>00:00-24:00</t>
        </is>
      </c>
      <c r="Q13" s="58" t="n">
        <v>30</v>
      </c>
      <c r="R13" s="59" t="n">
        <v>0</v>
      </c>
      <c r="S13" s="53" t="inlineStr">
        <is>
          <t>สะพานข้ามแม่น้ำเจ้าพระยาเก่าแก่ สร้างสมัยรัชกาลที่ 7 ใกล้ตลาดดอกไม้ปากคลองตลาด</t>
        </is>
      </c>
      <c r="T13" s="51" t="n"/>
      <c r="U13" s="58" t="n"/>
      <c r="V13" s="53" t="n"/>
      <c r="W13" s="53" t="n"/>
      <c r="X13" s="60" t="inlineStr">
        <is>
          <t>แหล่งท่องเที่ยว</t>
        </is>
      </c>
      <c r="Y13" s="61" t="n"/>
      <c r="Z13" s="62" t="n"/>
      <c r="AA13" s="61" t="inlineStr">
        <is>
          <t>สะพานพระพุทธยอดฟ้า</t>
        </is>
      </c>
      <c r="AB13" s="63" t="n">
        <v>403</v>
      </c>
      <c r="AC13" s="61" t="inlineStr">
        <is>
          <t>สะพาน</t>
        </is>
      </c>
      <c r="AD13" s="61" t="inlineStr">
        <is>
          <t>Google Maps (รายวัน)</t>
        </is>
      </c>
      <c r="AE13" s="61" t="n"/>
      <c r="AF13" s="61" t="inlineStr">
        <is>
          <t>ประมาณการจากค่าเข้า</t>
        </is>
      </c>
      <c r="AG13" s="63" t="n">
        <v>0</v>
      </c>
      <c r="AH13" s="61" t="inlineStr">
        <is>
          <t>PFQX+P29 สะพานพระพุทธยอดฟ้า สะพานพุทธยอดฟ้าจุฬาโลกมหาราช, แขวงวังบูรพาภิรมย์ เขตพระนคร กรุงเทพมหานคร 10600</t>
        </is>
      </c>
      <c r="AI13" s="61" t="n"/>
      <c r="AJ13" s="61" t="inlineStr">
        <is>
          <t>ChIJEcUU04SZ4jARfyNZ0JzFzng</t>
        </is>
      </c>
      <c r="AK13" s="64" t="inlineStr">
        <is>
          <t>เปิดแผนที่ ↗</t>
        </is>
      </c>
    </row>
    <row r="14" ht="20" customHeight="1">
      <c r="A14" s="50" t="inlineStr">
        <is>
          <t>bangkok-attraction-phra-athit-road</t>
        </is>
      </c>
      <c r="B14" s="51" t="inlineStr">
        <is>
          <t>attraction</t>
        </is>
      </c>
      <c r="C14" s="52" t="inlineStr">
        <is>
          <t>ย่านพระอาทิตย์ (ถ.พระอาทิตย์ บางลำพู)</t>
        </is>
      </c>
      <c r="D14" s="53" t="inlineStr">
        <is>
          <t>บางลำพู</t>
        </is>
      </c>
      <c r="E14" s="54" t="n">
        <v>13.7632</v>
      </c>
      <c r="F14" s="55" t="n">
        <v>100.4945</v>
      </c>
      <c r="G14" s="56" t="inlineStr">
        <is>
          <t>localFood,nightlife,templeHistory</t>
        </is>
      </c>
      <c r="H14" s="51" t="n">
        <v>1</v>
      </c>
      <c r="I14" s="57" t="n"/>
      <c r="J14" s="58" t="inlineStr">
        <is>
          <t>00:00-24:00</t>
        </is>
      </c>
      <c r="K14" s="51" t="inlineStr">
        <is>
          <t>00:00-24:00</t>
        </is>
      </c>
      <c r="L14" s="51" t="inlineStr">
        <is>
          <t>00:00-24:00</t>
        </is>
      </c>
      <c r="M14" s="51" t="inlineStr">
        <is>
          <t>00:00-24:00</t>
        </is>
      </c>
      <c r="N14" s="51" t="inlineStr">
        <is>
          <t>00:00-24:00</t>
        </is>
      </c>
      <c r="O14" s="51" t="inlineStr">
        <is>
          <t>00:00-24:00</t>
        </is>
      </c>
      <c r="P14" s="51" t="inlineStr">
        <is>
          <t>00:00-24:00</t>
        </is>
      </c>
      <c r="Q14" s="58" t="n">
        <v>90</v>
      </c>
      <c r="R14" s="59" t="n">
        <v>0</v>
      </c>
      <c r="S14" s="53" t="inlineStr">
        <is>
          <t>ถนนเลียบแม่น้ำย่านบางลำพู มีป้อมพระสุเมรุ สวนสันติชัยปราการ และร้านอาหาร-บาร์</t>
        </is>
      </c>
      <c r="T14" s="51" t="n"/>
      <c r="U14" s="58" t="n"/>
      <c r="V14" s="53" t="inlineStr">
        <is>
          <t>ไม่มี rating</t>
        </is>
      </c>
      <c r="W14" s="53" t="inlineStr">
        <is>
          <t>เป็นถนนสาธารณะ ใส่เปิดตลอดวัน / Google ไม่มี rating</t>
        </is>
      </c>
      <c r="X14" s="60" t="inlineStr">
        <is>
          <t>แหล่งท่องเที่ยว</t>
        </is>
      </c>
      <c r="Y14" s="61" t="n"/>
      <c r="Z14" s="62" t="n"/>
      <c r="AA14" s="61" t="inlineStr">
        <is>
          <t>ถนน พระอาทิตย์</t>
        </is>
      </c>
      <c r="AB14" s="63" t="n"/>
      <c r="AC14" s="61" t="n"/>
      <c r="AD14" s="61" t="inlineStr">
        <is>
          <t>ประมาณการ/แหล่งข้อมูลอื่น</t>
        </is>
      </c>
      <c r="AE14" s="61" t="n"/>
      <c r="AF14" s="61" t="inlineStr">
        <is>
          <t>ประมาณการจากค่าเข้า</t>
        </is>
      </c>
      <c r="AG14" s="63" t="n">
        <v>0</v>
      </c>
      <c r="AH14" s="61" t="inlineStr">
        <is>
          <t>ถนน พระอาทิตย์ เขตพระนคร กรุงเทพมหานคร 10200</t>
        </is>
      </c>
      <c r="AI14" s="61" t="n"/>
      <c r="AJ14" s="61" t="inlineStr">
        <is>
          <t>ChIJpRU2WHKZ4jARaOpvlk-0OVc</t>
        </is>
      </c>
      <c r="AK14" s="64" t="inlineStr">
        <is>
          <t>เปิดแผนที่ ↗</t>
        </is>
      </c>
    </row>
    <row r="15" ht="20" customHeight="1">
      <c r="A15" s="50" t="inlineStr">
        <is>
          <t>bangkok-attraction-siam-amazing-park</t>
        </is>
      </c>
      <c r="B15" s="51" t="inlineStr">
        <is>
          <t>attraction</t>
        </is>
      </c>
      <c r="C15" s="52" t="inlineStr">
        <is>
          <t>สวนสยาม (Siam Amazing Park)</t>
        </is>
      </c>
      <c r="D15" s="53" t="inlineStr">
        <is>
          <t>คันนายาว</t>
        </is>
      </c>
      <c r="E15" s="54" t="n">
        <v>13.80629</v>
      </c>
      <c r="F15" s="55" t="n">
        <v>100.69253</v>
      </c>
      <c r="G15" s="56" t="inlineStr">
        <is>
          <t>family,adventure</t>
        </is>
      </c>
      <c r="H15" s="51" t="n">
        <v>3</v>
      </c>
      <c r="I15" s="57" t="n">
        <v>4.2</v>
      </c>
      <c r="J15" s="58" t="inlineStr">
        <is>
          <t>10:00-18:00</t>
        </is>
      </c>
      <c r="K15" s="51" t="inlineStr">
        <is>
          <t>10:00-18:00</t>
        </is>
      </c>
      <c r="L15" s="51" t="inlineStr">
        <is>
          <t>10:00-18:00</t>
        </is>
      </c>
      <c r="M15" s="51" t="inlineStr">
        <is>
          <t>10:00-18:00</t>
        </is>
      </c>
      <c r="N15" s="51" t="inlineStr">
        <is>
          <t>10:00-18:00</t>
        </is>
      </c>
      <c r="O15" s="51" t="inlineStr">
        <is>
          <t>10:00-18:00</t>
        </is>
      </c>
      <c r="P15" s="51" t="inlineStr">
        <is>
          <t>10:00-18:00</t>
        </is>
      </c>
      <c r="Q15" s="58" t="n">
        <v>300</v>
      </c>
      <c r="R15" s="59" t="n">
        <v>1000</v>
      </c>
      <c r="S15" s="53" t="inlineStr">
        <is>
          <t>สวนสนุกและสวนน้ำขนาดใหญ่ย่านคันนายาว มีเครื่องเล่นหลากหลาย</t>
        </is>
      </c>
      <c r="T15" s="51" t="n"/>
      <c r="U15" s="58" t="n"/>
      <c r="V15" s="53" t="n"/>
      <c r="W15" s="53" t="inlineStr">
        <is>
          <t>ค่าเข้า = บัตร Adventure Pass ผู้ใหญ่หน้าเคาน์เตอร์ (ออนไลน์มักถูกกว่า)</t>
        </is>
      </c>
      <c r="X15" s="60" t="inlineStr">
        <is>
          <t>แหล่งท่องเที่ยว</t>
        </is>
      </c>
      <c r="Y15" s="61" t="n"/>
      <c r="Z15" s="62" t="n"/>
      <c r="AA15" s="61" t="inlineStr">
        <is>
          <t>สยามอะเมซิ่งพาร์ค</t>
        </is>
      </c>
      <c r="AB15" s="63" t="n">
        <v>17431</v>
      </c>
      <c r="AC15" s="61" t="inlineStr">
        <is>
          <t>สวนสนุก, สถานที่ท่องเที่ยว</t>
        </is>
      </c>
      <c r="AD15" s="61" t="inlineStr">
        <is>
          <t>ประมาณการ/แหล่งข้อมูลอื่น</t>
        </is>
      </c>
      <c r="AE15" s="61" t="n"/>
      <c r="AF15" s="61" t="inlineStr">
        <is>
          <t>ประมาณการจากค่าเข้า</t>
        </is>
      </c>
      <c r="AG15" s="63" t="n">
        <v>1000</v>
      </c>
      <c r="AH15" s="61" t="inlineStr">
        <is>
          <t>สยามอะเมซิ่งพาร์ค 203 ถ. สวนสยาม แขวงคันนายาว เขตคันนายาว กรุงเทพมหานคร 10230</t>
        </is>
      </c>
      <c r="AI15" s="61" t="n"/>
      <c r="AJ15" s="61" t="inlineStr">
        <is>
          <t>ChIJrc78zJBjHTERdLG8EciM5Qs</t>
        </is>
      </c>
      <c r="AK15" s="64" t="inlineStr">
        <is>
          <t>เปิดแผนที่ ↗</t>
        </is>
      </c>
    </row>
    <row r="16" ht="20" customHeight="1">
      <c r="A16" s="50" t="inlineStr">
        <is>
          <t>bangkok-attraction-siam-paragon</t>
        </is>
      </c>
      <c r="B16" s="51" t="inlineStr">
        <is>
          <t>attraction</t>
        </is>
      </c>
      <c r="C16" s="52" t="inlineStr">
        <is>
          <t>สยามพารากอน</t>
        </is>
      </c>
      <c r="D16" s="53" t="inlineStr">
        <is>
          <t>สยาม/ปทุมวัน</t>
        </is>
      </c>
      <c r="E16" s="54" t="n">
        <v>13.74617</v>
      </c>
      <c r="F16" s="55" t="n">
        <v>100.53486</v>
      </c>
      <c r="G16" s="56" t="inlineStr">
        <is>
          <t>shopping,family</t>
        </is>
      </c>
      <c r="H16" s="51" t="n">
        <v>2</v>
      </c>
      <c r="I16" s="57" t="n"/>
      <c r="J16" s="58" t="inlineStr">
        <is>
          <t>10:00-22:00</t>
        </is>
      </c>
      <c r="K16" s="51" t="inlineStr">
        <is>
          <t>10:00-22:00</t>
        </is>
      </c>
      <c r="L16" s="51" t="inlineStr">
        <is>
          <t>10:00-22:00</t>
        </is>
      </c>
      <c r="M16" s="51" t="inlineStr">
        <is>
          <t>10:00-22:00</t>
        </is>
      </c>
      <c r="N16" s="51" t="inlineStr">
        <is>
          <t>10:00-22:00</t>
        </is>
      </c>
      <c r="O16" s="51" t="inlineStr">
        <is>
          <t>10:00-22:00</t>
        </is>
      </c>
      <c r="P16" s="51" t="inlineStr">
        <is>
          <t>10:00-22:00</t>
        </is>
      </c>
      <c r="Q16" s="58" t="n">
        <v>120</v>
      </c>
      <c r="R16" s="59" t="n">
        <v>0</v>
      </c>
      <c r="S16" s="53" t="inlineStr">
        <is>
          <t>ห้างสรรพสินค้าใหญ่ใจกลางสยาม มีร้านค้า ร้านอาหาร และอควาเรียม</t>
        </is>
      </c>
      <c r="T16" s="51" t="n"/>
      <c r="U16" s="58" t="n"/>
      <c r="V16" s="53" t="inlineStr">
        <is>
          <t>ไม่มี rating</t>
        </is>
      </c>
      <c r="W16" s="53" t="inlineStr">
        <is>
          <t>Google ไม่คืนข้อมูล / ไม่มี rating</t>
        </is>
      </c>
      <c r="X16" s="60" t="inlineStr">
        <is>
          <t>แหล่งท่องเที่ยว</t>
        </is>
      </c>
      <c r="Y16" s="61" t="n"/>
      <c r="Z16" s="62" t="n"/>
      <c r="AA16" s="61" t="n"/>
      <c r="AB16" s="63" t="n"/>
      <c r="AC16" s="61" t="n"/>
      <c r="AD16" s="61" t="inlineStr">
        <is>
          <t>ประมาณการ/แหล่งข้อมูลอื่น</t>
        </is>
      </c>
      <c r="AE16" s="61" t="n"/>
      <c r="AF16" s="61" t="inlineStr">
        <is>
          <t>ประมาณการจากค่าเข้า</t>
        </is>
      </c>
      <c r="AG16" s="63" t="n">
        <v>0</v>
      </c>
      <c r="AH16" s="61" t="n"/>
      <c r="AI16" s="61" t="n"/>
      <c r="AJ16" s="61" t="n"/>
      <c r="AK16" s="64" t="inlineStr">
        <is>
          <t>เปิดแผนที่ ↗</t>
        </is>
      </c>
    </row>
    <row r="17" ht="20" customHeight="1">
      <c r="A17" s="50" t="inlineStr">
        <is>
          <t>bangkok-attraction-suan-rot-fai</t>
        </is>
      </c>
      <c r="B17" s="51" t="inlineStr">
        <is>
          <t>attraction</t>
        </is>
      </c>
      <c r="C17" s="52" t="inlineStr">
        <is>
          <t>สวนวชิรเบญจทัศ (สวนรถไฟ)</t>
        </is>
      </c>
      <c r="D17" s="53" t="inlineStr">
        <is>
          <t>จตุจักร</t>
        </is>
      </c>
      <c r="E17" s="54" t="n">
        <v>13.8137</v>
      </c>
      <c r="F17" s="55" t="n">
        <v>100.5536</v>
      </c>
      <c r="G17" s="56" t="inlineStr">
        <is>
          <t>nature,family</t>
        </is>
      </c>
      <c r="H17" s="51" t="n">
        <v>1</v>
      </c>
      <c r="I17" s="57" t="n">
        <v>4.6</v>
      </c>
      <c r="J17" s="58" t="inlineStr">
        <is>
          <t>04:30-21:00</t>
        </is>
      </c>
      <c r="K17" s="51" t="inlineStr">
        <is>
          <t>04:30-21:00</t>
        </is>
      </c>
      <c r="L17" s="51" t="inlineStr">
        <is>
          <t>04:30-21:00</t>
        </is>
      </c>
      <c r="M17" s="51" t="inlineStr">
        <is>
          <t>04:30-21:00</t>
        </is>
      </c>
      <c r="N17" s="51" t="inlineStr">
        <is>
          <t>04:30-21:00</t>
        </is>
      </c>
      <c r="O17" s="51" t="inlineStr">
        <is>
          <t>04:30-21:00</t>
        </is>
      </c>
      <c r="P17" s="51" t="inlineStr">
        <is>
          <t>04:30-21:00</t>
        </is>
      </c>
      <c r="Q17" s="58" t="n">
        <v>90</v>
      </c>
      <c r="R17" s="59" t="n">
        <v>0</v>
      </c>
      <c r="S17" s="53" t="inlineStr">
        <is>
          <t>สวนสาธารณะขนาดใหญ่ย่านจตุจักร มีเส้นทางปั่นจักรยานและสวนผีเสื้อ</t>
        </is>
      </c>
      <c r="T17" s="51" t="n"/>
      <c r="U17" s="58" t="n"/>
      <c r="V17" s="53" t="n"/>
      <c r="W17" s="53" t="n"/>
      <c r="X17" s="60" t="inlineStr">
        <is>
          <t>แหล่งท่องเที่ยว</t>
        </is>
      </c>
      <c r="Y17" s="61" t="n"/>
      <c r="Z17" s="62" t="n"/>
      <c r="AA17" s="61" t="inlineStr">
        <is>
          <t>สวนวชิรเบญจทัศ</t>
        </is>
      </c>
      <c r="AB17" s="63" t="n">
        <v>8692</v>
      </c>
      <c r="AC17" s="61" t="inlineStr">
        <is>
          <t>สวนสาธารณะ, สวนสาธารณะของเมือง</t>
        </is>
      </c>
      <c r="AD17" s="61" t="inlineStr">
        <is>
          <t>Google Maps (รายวัน)</t>
        </is>
      </c>
      <c r="AE17" s="61" t="n"/>
      <c r="AF17" s="61" t="inlineStr">
        <is>
          <t>ประมาณการจากค่าเข้า</t>
        </is>
      </c>
      <c r="AG17" s="63" t="n">
        <v>0</v>
      </c>
      <c r="AH17" s="61" t="inlineStr">
        <is>
          <t>สวนวชิรเบญจทัศ ถนน กำแพงเพชร 3 แขวง ลาดยาว เขตจตุจักร กรุงเทพมหานคร 10900</t>
        </is>
      </c>
      <c r="AI17" s="61" t="n"/>
      <c r="AJ17" s="61" t="inlineStr">
        <is>
          <t>ChIJTw-JsUKc4jAREpXc3JmuyAE</t>
        </is>
      </c>
      <c r="AK17" s="64" t="inlineStr">
        <is>
          <t>เปิดแผนที่ ↗</t>
        </is>
      </c>
    </row>
    <row r="18" ht="20" customHeight="1">
      <c r="A18" s="50" t="inlineStr">
        <is>
          <t>bangkok-attraction-wat-arun</t>
        </is>
      </c>
      <c r="B18" s="51" t="inlineStr">
        <is>
          <t>attraction</t>
        </is>
      </c>
      <c r="C18" s="52" t="inlineStr">
        <is>
          <t>วัดอรุณราชวรารามราชวรมหาวิหาร</t>
        </is>
      </c>
      <c r="D18" s="53" t="inlineStr">
        <is>
          <t>ริมแม่น้ำเจ้าพระยา</t>
        </is>
      </c>
      <c r="E18" s="54" t="n">
        <v>13.74387</v>
      </c>
      <c r="F18" s="55" t="n">
        <v>100.48844</v>
      </c>
      <c r="G18" s="56" t="inlineStr">
        <is>
          <t>templeHistory,viewpoint</t>
        </is>
      </c>
      <c r="H18" s="51" t="n">
        <v>1</v>
      </c>
      <c r="I18" s="57" t="n">
        <v>4.7</v>
      </c>
      <c r="J18" s="58" t="inlineStr">
        <is>
          <t>08:00-18:00</t>
        </is>
      </c>
      <c r="K18" s="51" t="inlineStr">
        <is>
          <t>08:00-18:00</t>
        </is>
      </c>
      <c r="L18" s="51" t="inlineStr">
        <is>
          <t>08:00-18:00</t>
        </is>
      </c>
      <c r="M18" s="51" t="inlineStr">
        <is>
          <t>08:00-18:00</t>
        </is>
      </c>
      <c r="N18" s="51" t="inlineStr">
        <is>
          <t>08:00-18:00</t>
        </is>
      </c>
      <c r="O18" s="51" t="inlineStr">
        <is>
          <t>08:00-18:00</t>
        </is>
      </c>
      <c r="P18" s="51" t="inlineStr">
        <is>
          <t>08:00-18:00</t>
        </is>
      </c>
      <c r="Q18" s="58" t="n">
        <v>60</v>
      </c>
      <c r="R18" s="59" t="n">
        <v>200</v>
      </c>
      <c r="S18" s="53" t="inlineStr">
        <is>
          <t>พระปรางค์ริมแม่น้ำเจ้าพระยา สวยที่สุดช่วงเย็น</t>
        </is>
      </c>
      <c r="T18" s="51" t="n"/>
      <c r="U18" s="58" t="n"/>
      <c r="V18" s="53" t="n"/>
      <c r="W18" s="53" t="inlineStr">
        <is>
          <t>id ตรงกับที่มีอยู่แล้วใน bangkok.json / คนไทยเข้าฟรี</t>
        </is>
      </c>
      <c r="X18" s="60" t="inlineStr">
        <is>
          <t>แหล่งท่องเที่ยว</t>
        </is>
      </c>
      <c r="Y18" s="61" t="n"/>
      <c r="Z18" s="62" t="n"/>
      <c r="AA18" s="61" t="inlineStr">
        <is>
          <t>วัดอรุณราชวรารามราชวรมหาวิหาร</t>
        </is>
      </c>
      <c r="AB18" s="63" t="n">
        <v>45345</v>
      </c>
      <c r="AC18" s="61" t="inlineStr">
        <is>
          <t>วัด</t>
        </is>
      </c>
      <c r="AD18" s="61" t="inlineStr">
        <is>
          <t>Google Maps (รายวัน)</t>
        </is>
      </c>
      <c r="AE18" s="61" t="n"/>
      <c r="AF18" s="61" t="inlineStr">
        <is>
          <t>ประมาณการจากค่าเข้า</t>
        </is>
      </c>
      <c r="AG18" s="63" t="n">
        <v>0</v>
      </c>
      <c r="AH18" s="61" t="inlineStr">
        <is>
          <t>วัดอรุณราชวรารามราชวรมหาวิหาร 158 ถนน วังเดิม แขวงวัดอรุณ เขตบางกอกใหญ่ กรุงเทพมหานคร 10600</t>
        </is>
      </c>
      <c r="AI18" s="61" t="n"/>
      <c r="AJ18" s="61" t="inlineStr">
        <is>
          <t>ChIJaSv_6gaZ4jARnbiUVn6Z_YY</t>
        </is>
      </c>
      <c r="AK18" s="64" t="inlineStr">
        <is>
          <t>เปิดแผนที่ ↗</t>
        </is>
      </c>
    </row>
    <row r="19" ht="20" customHeight="1">
      <c r="A19" s="50" t="inlineStr">
        <is>
          <t>bangkok-attraction-wat-paknam-phasi-charoen</t>
        </is>
      </c>
      <c r="B19" s="51" t="inlineStr">
        <is>
          <t>attraction</t>
        </is>
      </c>
      <c r="C19" s="52" t="inlineStr">
        <is>
          <t>วัดปากน้ำภาษีเจริญ</t>
        </is>
      </c>
      <c r="D19" s="53" t="inlineStr">
        <is>
          <t>ตลาดพลู-ภาษีเจริญ</t>
        </is>
      </c>
      <c r="E19" s="54" t="n">
        <v>13.72178</v>
      </c>
      <c r="F19" s="55" t="n">
        <v>100.47036</v>
      </c>
      <c r="G19" s="56" t="inlineStr">
        <is>
          <t>templeHistory,viewpoint</t>
        </is>
      </c>
      <c r="H19" s="51" t="n">
        <v>1</v>
      </c>
      <c r="I19" s="57" t="n">
        <v>4.7</v>
      </c>
      <c r="J19" s="58" t="inlineStr">
        <is>
          <t>08:00-18:00</t>
        </is>
      </c>
      <c r="K19" s="51" t="inlineStr">
        <is>
          <t>08:00-18:00</t>
        </is>
      </c>
      <c r="L19" s="51" t="inlineStr">
        <is>
          <t>08:00-18:00</t>
        </is>
      </c>
      <c r="M19" s="51" t="inlineStr">
        <is>
          <t>08:00-18:00</t>
        </is>
      </c>
      <c r="N19" s="51" t="inlineStr">
        <is>
          <t>08:00-18:00</t>
        </is>
      </c>
      <c r="O19" s="51" t="inlineStr">
        <is>
          <t>08:00-18:00</t>
        </is>
      </c>
      <c r="P19" s="51" t="inlineStr">
        <is>
          <t>08:00-18:00</t>
        </is>
      </c>
      <c r="Q19" s="58" t="n">
        <v>60</v>
      </c>
      <c r="R19" s="59" t="n">
        <v>0</v>
      </c>
      <c r="S19" s="53" t="inlineStr">
        <is>
          <t>วัดริมคลองภาษีเจริญ มีมหาเจดีย์สีขาวสูง ชั้นบนสุดมีเจดีย์แก้วสีเขียว</t>
        </is>
      </c>
      <c r="T19" s="51" t="n"/>
      <c r="U19" s="58" t="n"/>
      <c r="V19" s="53" t="inlineStr">
        <is>
          <t>ตรวจเวลาเปิด</t>
        </is>
      </c>
      <c r="W19" s="53" t="inlineStr">
        <is>
          <t>Google ระบุเปิด 24 ชม. แต่ใช้ 08:00–18:00 ตามเวลาเข้าชมพระมหาเจดีย์โดยประมาณ ควรตรวจสอบ</t>
        </is>
      </c>
      <c r="X19" s="60" t="inlineStr">
        <is>
          <t>แหล่งท่องเที่ยว</t>
        </is>
      </c>
      <c r="Y19" s="61" t="n"/>
      <c r="Z19" s="62" t="n"/>
      <c r="AA19" s="61" t="inlineStr">
        <is>
          <t>วัดปากน้ำภาษีเจริญ</t>
        </is>
      </c>
      <c r="AB19" s="63" t="n">
        <v>12132</v>
      </c>
      <c r="AC19" s="61" t="inlineStr">
        <is>
          <t>วัด</t>
        </is>
      </c>
      <c r="AD19" s="61" t="inlineStr">
        <is>
          <t>แก้จาก Google (ดูหมายเหตุ)</t>
        </is>
      </c>
      <c r="AE19" s="61" t="n"/>
      <c r="AF19" s="61" t="inlineStr">
        <is>
          <t>ประมาณการจากค่าเข้า</t>
        </is>
      </c>
      <c r="AG19" s="63" t="n">
        <v>0</v>
      </c>
      <c r="AH19" s="61" t="inlineStr">
        <is>
          <t>300 วัดปากน้ำภาษีเจริญ ซอย รัชมงคลประสาธน์ แขวงปากคลองภาษีเจริญ เขตภาษีเจริญ กรุงเทพมหานคร 10160</t>
        </is>
      </c>
      <c r="AI19" s="61" t="n"/>
      <c r="AJ19" s="61" t="inlineStr">
        <is>
          <t>ChIJvwXXwEWY4jARC2dj117syBA</t>
        </is>
      </c>
      <c r="AK19" s="64" t="inlineStr">
        <is>
          <t>เปิดแผนที่ ↗</t>
        </is>
      </c>
    </row>
    <row r="20" ht="20" customHeight="1">
      <c r="A20" s="50" t="inlineStr">
        <is>
          <t>bangkok-attraction-wat-pho</t>
        </is>
      </c>
      <c r="B20" s="51" t="inlineStr">
        <is>
          <t>attraction</t>
        </is>
      </c>
      <c r="C20" s="52" t="inlineStr">
        <is>
          <t>วัดพระเชตุพนวิมลมังคลาราม (วัดโพธิ์)</t>
        </is>
      </c>
      <c r="D20" s="53" t="inlineStr">
        <is>
          <t>เกาะรัตนโกสินทร์</t>
        </is>
      </c>
      <c r="E20" s="54" t="n">
        <v>13.74642</v>
      </c>
      <c r="F20" s="55" t="n">
        <v>100.49277</v>
      </c>
      <c r="G20" s="56" t="inlineStr">
        <is>
          <t>templeHistory,wellness</t>
        </is>
      </c>
      <c r="H20" s="51" t="n">
        <v>1</v>
      </c>
      <c r="I20" s="57" t="n">
        <v>4.7</v>
      </c>
      <c r="J20" s="58" t="inlineStr">
        <is>
          <t>08:00-18:30</t>
        </is>
      </c>
      <c r="K20" s="51" t="inlineStr">
        <is>
          <t>08:00-18:30</t>
        </is>
      </c>
      <c r="L20" s="51" t="inlineStr">
        <is>
          <t>08:00-18:30</t>
        </is>
      </c>
      <c r="M20" s="51" t="inlineStr">
        <is>
          <t>08:00-18:30</t>
        </is>
      </c>
      <c r="N20" s="51" t="inlineStr">
        <is>
          <t>08:00-18:30</t>
        </is>
      </c>
      <c r="O20" s="51" t="inlineStr">
        <is>
          <t>08:00-18:30</t>
        </is>
      </c>
      <c r="P20" s="51" t="inlineStr">
        <is>
          <t>08:00-18:30</t>
        </is>
      </c>
      <c r="Q20" s="58" t="n">
        <v>90</v>
      </c>
      <c r="R20" s="59" t="n">
        <v>300</v>
      </c>
      <c r="S20" s="53" t="inlineStr">
        <is>
          <t>พระพุทธไสยาสน์องค์ใหญ่และต้นตำรับนวดแผนไทย</t>
        </is>
      </c>
      <c r="T20" s="51" t="n"/>
      <c r="U20" s="58" t="n"/>
      <c r="V20" s="53" t="n"/>
      <c r="W20" s="53" t="inlineStr">
        <is>
          <t>id ตรงกับที่มีอยู่แล้วใน bangkok.json / Google ไม่คืนข้อมูล ใช้ rating และเวลาจาก bangkok.json เดิม / คนไทยเข้าฟรี</t>
        </is>
      </c>
      <c r="X20" s="60" t="inlineStr">
        <is>
          <t>แหล่งท่องเที่ยว</t>
        </is>
      </c>
      <c r="Y20" s="61" t="n"/>
      <c r="Z20" s="62" t="n"/>
      <c r="AA20" s="61" t="n"/>
      <c r="AB20" s="63" t="n"/>
      <c r="AC20" s="61" t="n"/>
      <c r="AD20" s="61" t="inlineStr">
        <is>
          <t>ประมาณการ/แหล่งข้อมูลอื่น</t>
        </is>
      </c>
      <c r="AE20" s="61" t="n"/>
      <c r="AF20" s="61" t="inlineStr">
        <is>
          <t>ประมาณการจากค่าเข้า</t>
        </is>
      </c>
      <c r="AG20" s="63" t="n">
        <v>0</v>
      </c>
      <c r="AH20" s="61" t="n"/>
      <c r="AI20" s="61" t="n"/>
      <c r="AJ20" s="61" t="n"/>
      <c r="AK20" s="64" t="inlineStr">
        <is>
          <t>เปิดแผนที่ ↗</t>
        </is>
      </c>
    </row>
    <row r="21" ht="20" customHeight="1">
      <c r="A21" s="50" t="inlineStr">
        <is>
          <t>bangkok-attraction-yaowarat</t>
        </is>
      </c>
      <c r="B21" s="51" t="inlineStr">
        <is>
          <t>attraction</t>
        </is>
      </c>
      <c r="C21" s="52" t="inlineStr">
        <is>
          <t>เยาวราช</t>
        </is>
      </c>
      <c r="D21" s="53" t="inlineStr">
        <is>
          <t>เยาวราช</t>
        </is>
      </c>
      <c r="E21" s="54" t="n">
        <v>13.7397</v>
      </c>
      <c r="F21" s="55" t="n">
        <v>100.5099</v>
      </c>
      <c r="G21" s="56" t="inlineStr">
        <is>
          <t>localFood,nightlife</t>
        </is>
      </c>
      <c r="H21" s="51" t="n">
        <v>1</v>
      </c>
      <c r="I21" s="57" t="n">
        <v>4.7</v>
      </c>
      <c r="J21" s="58" t="n"/>
      <c r="K21" s="51" t="inlineStr">
        <is>
          <t>17:00-24:00</t>
        </is>
      </c>
      <c r="L21" s="51" t="inlineStr">
        <is>
          <t>17:00-24:00</t>
        </is>
      </c>
      <c r="M21" s="51" t="inlineStr">
        <is>
          <t>17:00-24:00</t>
        </is>
      </c>
      <c r="N21" s="51" t="inlineStr">
        <is>
          <t>17:00-24:00</t>
        </is>
      </c>
      <c r="O21" s="51" t="inlineStr">
        <is>
          <t>17:00-24:00</t>
        </is>
      </c>
      <c r="P21" s="51" t="inlineStr">
        <is>
          <t>17:00-24:00</t>
        </is>
      </c>
      <c r="Q21" s="58" t="n">
        <v>120</v>
      </c>
      <c r="R21" s="59" t="n">
        <v>0</v>
      </c>
      <c r="S21" s="53" t="inlineStr">
        <is>
          <t>ไชน่าทาวน์ของกรุงเทพฯ ขึ้นชื่อสตรีทฟู้ดยามค่ำและร้านทองในตึกเก่า</t>
        </is>
      </c>
      <c r="T21" s="51" t="n"/>
      <c r="U21" s="58" t="n"/>
      <c r="V21" s="53" t="inlineStr">
        <is>
          <t>ตรวจเวลาเปิด</t>
        </is>
      </c>
      <c r="W21" s="53" t="inlineStr">
        <is>
          <t>เป็นถนน ใช้ช่วงสตรีทฟู้ดยามค่ำ (ประมาณการ) แผงลอยส่วนใหญ่หยุดวันจันทร์ ควรตรวจสอบ</t>
        </is>
      </c>
      <c r="X21" s="60" t="inlineStr">
        <is>
          <t>แหล่งท่องเที่ยว</t>
        </is>
      </c>
      <c r="Y21" s="61" t="n"/>
      <c r="Z21" s="62" t="n"/>
      <c r="AA21" s="61" t="inlineStr">
        <is>
          <t>ถ. เยาวราช</t>
        </is>
      </c>
      <c r="AB21" s="63" t="n"/>
      <c r="AC21" s="61" t="inlineStr">
        <is>
          <t>ถนนที่มีชื่อเสียง</t>
        </is>
      </c>
      <c r="AD21" s="61" t="inlineStr">
        <is>
          <t>ประมาณการ/แหล่งข้อมูลอื่น</t>
        </is>
      </c>
      <c r="AE21" s="61" t="n"/>
      <c r="AF21" s="61" t="inlineStr">
        <is>
          <t>ประมาณการจากค่าเข้า</t>
        </is>
      </c>
      <c r="AG21" s="63" t="n">
        <v>0</v>
      </c>
      <c r="AH21" s="61" t="inlineStr">
        <is>
          <t>ถ. เยาวราช กรุงเทพมหานคร</t>
        </is>
      </c>
      <c r="AI21" s="61" t="n"/>
      <c r="AJ21" s="61" t="inlineStr">
        <is>
          <t>ChIJ95Nh9yGZ4jARAjfcG2uIZFg</t>
        </is>
      </c>
      <c r="AK21" s="64" t="inlineStr">
        <is>
          <t>เปิดแผนที่ ↗</t>
        </is>
      </c>
    </row>
    <row r="22" ht="20" customHeight="1">
      <c r="A22" s="50" t="inlineStr">
        <is>
          <t>bangkok-restaurant-mahanakhon-eatery</t>
        </is>
      </c>
      <c r="B22" s="51" t="inlineStr">
        <is>
          <t>restaurant</t>
        </is>
      </c>
      <c r="C22" s="52" t="inlineStr">
        <is>
          <t>Mahanakhon Eatery</t>
        </is>
      </c>
      <c r="D22" s="53" t="inlineStr">
        <is>
          <t>สีลม</t>
        </is>
      </c>
      <c r="E22" s="54" t="n">
        <v>13.7239054</v>
      </c>
      <c r="F22" s="55" t="n">
        <v>100.5286479</v>
      </c>
      <c r="G22" s="56" t="inlineStr">
        <is>
          <t>localFood,family</t>
        </is>
      </c>
      <c r="H22" s="51" t="n">
        <v>2</v>
      </c>
      <c r="I22" s="57" t="n">
        <v>4.6</v>
      </c>
      <c r="J22" s="58" t="inlineStr">
        <is>
          <t>08:00-22:00</t>
        </is>
      </c>
      <c r="K22" s="51" t="inlineStr">
        <is>
          <t>08:00-22:00</t>
        </is>
      </c>
      <c r="L22" s="51" t="inlineStr">
        <is>
          <t>08:00-22:00</t>
        </is>
      </c>
      <c r="M22" s="51" t="inlineStr">
        <is>
          <t>08:00-22:00</t>
        </is>
      </c>
      <c r="N22" s="51" t="inlineStr">
        <is>
          <t>08:00-22:00</t>
        </is>
      </c>
      <c r="O22" s="51" t="inlineStr">
        <is>
          <t>08:00-22:00</t>
        </is>
      </c>
      <c r="P22" s="51" t="inlineStr">
        <is>
          <t>08:00-22:00</t>
        </is>
      </c>
      <c r="Q22" s="58" t="n">
        <v>60</v>
      </c>
      <c r="R22" s="59" t="n">
        <v>0</v>
      </c>
      <c r="S22" s="53" t="inlineStr">
        <is>
          <t>ฟู้ดฮอลล์ใต้ตึกมหานคร รวมร้านอาหารไทยและนานาชาติ แวะก่อนขึ้น SkyWalk ได้</t>
        </is>
      </c>
      <c r="T22" s="51" t="n"/>
      <c r="U22" s="58" t="inlineStr">
        <is>
          <t>Y</t>
        </is>
      </c>
      <c r="V22" s="53" t="n"/>
      <c r="W22" s="53" t="n"/>
      <c r="X22" s="60" t="inlineStr">
        <is>
          <t>ร้านอาหาร</t>
        </is>
      </c>
      <c r="Y22" s="61" t="inlineStr">
        <is>
          <t>SkyWalk King Power Mahanakhon (คิงเพาเวอร์ มหานคร)</t>
        </is>
      </c>
      <c r="Z22" s="62" t="n">
        <v>0.02</v>
      </c>
      <c r="AA22" s="61" t="inlineStr">
        <is>
          <t>Mahanakhon Eatery</t>
        </is>
      </c>
      <c r="AB22" s="63" t="n">
        <v>495</v>
      </c>
      <c r="AC22" s="61" t="inlineStr">
        <is>
          <t>ศูนย์อาหาร</t>
        </is>
      </c>
      <c r="AD22" s="61" t="inlineStr">
        <is>
          <t>Google Maps (รายวัน)</t>
        </is>
      </c>
      <c r="AE22" s="61" t="inlineStr">
        <is>
          <t>ทุกวัน 08:00-22:00</t>
        </is>
      </c>
      <c r="AF22" s="61" t="inlineStr">
        <is>
          <t>ประมาณการจากประเภทร้าน/ทำเล (ยังไม่ยืนยัน)</t>
        </is>
      </c>
      <c r="AG22" s="63" t="n"/>
      <c r="AH22" s="61" t="inlineStr">
        <is>
          <t>96 ถ.นราธิวาสราชนครินทร์ สีลม บางรัก</t>
        </is>
      </c>
      <c r="AI22" s="61" t="inlineStr">
        <is>
          <t>+66 2 677 8721</t>
        </is>
      </c>
      <c r="AJ22" s="61" t="inlineStr">
        <is>
          <t>ChIJpYfHXaef4jARpiefh3BHf1k</t>
        </is>
      </c>
      <c r="AK22" s="64" t="inlineStr">
        <is>
          <t>เปิดแผนที่ ↗</t>
        </is>
      </c>
    </row>
    <row r="23" ht="20" customHeight="1">
      <c r="A23" s="50" t="inlineStr">
        <is>
          <t>bangkok-restaurant-babyccino-mahanakhon</t>
        </is>
      </c>
      <c r="B23" s="51" t="inlineStr">
        <is>
          <t>restaurant</t>
        </is>
      </c>
      <c r="C23" s="52" t="inlineStr">
        <is>
          <t>Babyccino Mahanakhon</t>
        </is>
      </c>
      <c r="D23" s="53" t="inlineStr">
        <is>
          <t>สีลม</t>
        </is>
      </c>
      <c r="E23" s="54" t="n">
        <v>13.7238599</v>
      </c>
      <c r="F23" s="55" t="n">
        <v>100.5286813</v>
      </c>
      <c r="G23" s="56" t="inlineStr">
        <is>
          <t>cafe,family</t>
        </is>
      </c>
      <c r="H23" s="51" t="n">
        <v>2</v>
      </c>
      <c r="I23" s="57" t="n">
        <v>4.7</v>
      </c>
      <c r="J23" s="58" t="inlineStr">
        <is>
          <t>10:00-22:00</t>
        </is>
      </c>
      <c r="K23" s="51" t="inlineStr">
        <is>
          <t>10:00-22:00</t>
        </is>
      </c>
      <c r="L23" s="51" t="inlineStr">
        <is>
          <t>10:00-22:00</t>
        </is>
      </c>
      <c r="M23" s="51" t="inlineStr">
        <is>
          <t>10:00-22:00</t>
        </is>
      </c>
      <c r="N23" s="51" t="inlineStr">
        <is>
          <t>10:00-22:00</t>
        </is>
      </c>
      <c r="O23" s="51" t="inlineStr">
        <is>
          <t>10:00-22:00</t>
        </is>
      </c>
      <c r="P23" s="51" t="inlineStr">
        <is>
          <t>10:00-22:00</t>
        </is>
      </c>
      <c r="Q23" s="58" t="n">
        <v>60</v>
      </c>
      <c r="R23" s="59" t="n">
        <v>0</v>
      </c>
      <c r="S23" s="53" t="inlineStr">
        <is>
          <t>คาเฟ่บรันช์ในมหานครคิวบ์ มีเมนูอาหารเช้า-กลางวันและเครื่องดื่ม</t>
        </is>
      </c>
      <c r="T23" s="51" t="n"/>
      <c r="U23" s="58" t="inlineStr">
        <is>
          <t>Y</t>
        </is>
      </c>
      <c r="V23" s="53" t="n"/>
      <c r="W23" s="53" t="n"/>
      <c r="X23" s="60" t="inlineStr">
        <is>
          <t>ร้านอาหาร</t>
        </is>
      </c>
      <c r="Y23" s="61" t="inlineStr">
        <is>
          <t>SkyWalk King Power Mahanakhon (คิงเพาเวอร์ มหานคร)</t>
        </is>
      </c>
      <c r="Z23" s="62" t="n">
        <v>0.03</v>
      </c>
      <c r="AA23" s="61" t="inlineStr">
        <is>
          <t>Babyccino Mahanakhon</t>
        </is>
      </c>
      <c r="AB23" s="63" t="n">
        <v>489</v>
      </c>
      <c r="AC23" s="61" t="inlineStr">
        <is>
          <t>ภัตตาคารอาหารเช้าและกลางวัน</t>
        </is>
      </c>
      <c r="AD23" s="61" t="inlineStr">
        <is>
          <t>Google Maps (รายวัน)</t>
        </is>
      </c>
      <c r="AE23" s="61" t="inlineStr">
        <is>
          <t>ทุกวัน 10:00-22:00</t>
        </is>
      </c>
      <c r="AF23" s="61" t="inlineStr">
        <is>
          <t>ประมาณการจากประเภทร้าน/ทำเล (ยังไม่ยืนยัน)</t>
        </is>
      </c>
      <c r="AG23" s="63" t="n"/>
      <c r="AH23" s="61" t="inlineStr">
        <is>
          <t>Mahanakhon Cube 96 ถ.นราธิวาสฯ สีลม บางรัก</t>
        </is>
      </c>
      <c r="AI23" s="61" t="inlineStr">
        <is>
          <t>+66 92 446 9222</t>
        </is>
      </c>
      <c r="AJ23" s="61" t="inlineStr">
        <is>
          <t>ChIJL_Skva2Z4jARptt0z0enAIM</t>
        </is>
      </c>
      <c r="AK23" s="64" t="inlineStr">
        <is>
          <t>เปิดแผนที่ ↗</t>
        </is>
      </c>
    </row>
    <row r="24" ht="20" customHeight="1">
      <c r="A24" s="50" t="inlineStr">
        <is>
          <t>bangkok-restaurant-the-standard-grill</t>
        </is>
      </c>
      <c r="B24" s="51" t="inlineStr">
        <is>
          <t>restaurant</t>
        </is>
      </c>
      <c r="C24" s="52" t="inlineStr">
        <is>
          <t>The Standard Grill</t>
        </is>
      </c>
      <c r="D24" s="53" t="inlineStr">
        <is>
          <t>สีลม</t>
        </is>
      </c>
      <c r="E24" s="54" t="n">
        <v>13.7235301</v>
      </c>
      <c r="F24" s="55" t="n">
        <v>100.5282956</v>
      </c>
      <c r="G24" s="56" t="n"/>
      <c r="H24" s="51" t="n">
        <v>4</v>
      </c>
      <c r="I24" s="57" t="n">
        <v>4.8</v>
      </c>
      <c r="J24" s="58" t="inlineStr">
        <is>
          <t>17:30-22:30</t>
        </is>
      </c>
      <c r="K24" s="51" t="inlineStr">
        <is>
          <t>17:30-22:30</t>
        </is>
      </c>
      <c r="L24" s="51" t="inlineStr">
        <is>
          <t>17:30-22:30</t>
        </is>
      </c>
      <c r="M24" s="51" t="inlineStr">
        <is>
          <t>17:30-22:30</t>
        </is>
      </c>
      <c r="N24" s="51" t="inlineStr">
        <is>
          <t>17:30-22:30</t>
        </is>
      </c>
      <c r="O24" s="51" t="inlineStr">
        <is>
          <t>12:00-22:30</t>
        </is>
      </c>
      <c r="P24" s="51" t="inlineStr">
        <is>
          <t>12:00-22:30</t>
        </is>
      </c>
      <c r="Q24" s="58" t="n">
        <v>90</v>
      </c>
      <c r="R24" s="59" t="n">
        <v>0</v>
      </c>
      <c r="S24" s="53" t="inlineStr">
        <is>
          <t>ร้านสเต็กและอาหารอเมริกันในโรงแรม The Standard มหานคร</t>
        </is>
      </c>
      <c r="T24" s="51" t="n"/>
      <c r="U24" s="58" t="inlineStr">
        <is>
          <t>Y</t>
        </is>
      </c>
      <c r="V24" s="53" t="inlineStr">
        <is>
          <t>ไม่มีแท็กที่ตรงประเภทอาหาร (อาหารต่างชาติ)</t>
        </is>
      </c>
      <c r="W24" s="53" t="inlineStr">
        <is>
          <t>เปิด 2 ช่วง (sun 12:00–15:00 / 17:30–22:30; sat 12:00–15:00 / 17:30–22:30) ระบบรองรับช่วงเดียว จึงใส่ช่วงรวม</t>
        </is>
      </c>
      <c r="X24" s="60" t="inlineStr">
        <is>
          <t>ร้านอาหาร</t>
        </is>
      </c>
      <c r="Y24" s="61" t="inlineStr">
        <is>
          <t>SkyWalk King Power Mahanakhon (คิงเพาเวอร์ มหานคร)</t>
        </is>
      </c>
      <c r="Z24" s="62" t="n">
        <v>0.06</v>
      </c>
      <c r="AA24" s="61" t="inlineStr">
        <is>
          <t>The Standard Grill</t>
        </is>
      </c>
      <c r="AB24" s="63" t="n">
        <v>1266</v>
      </c>
      <c r="AC24" s="61" t="inlineStr">
        <is>
          <t>ร้านอาหาร, ภัตตาคารอาหารอเมริกัน, ร้านสเต็ก</t>
        </is>
      </c>
      <c r="AD24" s="61" t="inlineStr">
        <is>
          <t>Google Maps (รายวัน)</t>
        </is>
      </c>
      <c r="AE24" s="61" t="inlineStr">
        <is>
          <t>จ-ศ 17:30-22:30 / ส-อา 12:00-15:00, 17:30-22:30</t>
        </is>
      </c>
      <c r="AF24" s="61" t="inlineStr">
        <is>
          <t>ประมาณการจากประเภทร้าน/ทำเล (ยังไม่ยืนยัน)</t>
        </is>
      </c>
      <c r="AG24" s="63" t="n"/>
      <c r="AH24" s="61" t="inlineStr">
        <is>
          <t>ชั้น 5 The Standard Bangkok Mahanakhon 114 ถ.นราธิวาสฯ</t>
        </is>
      </c>
      <c r="AI24" s="61" t="inlineStr">
        <is>
          <t>+66 2 085 8888</t>
        </is>
      </c>
      <c r="AJ24" s="61" t="inlineStr">
        <is>
          <t>ChIJtzsv7T2Z4jAR2fSNVxk9_Jc</t>
        </is>
      </c>
      <c r="AK24" s="64" t="inlineStr">
        <is>
          <t>เปิดแผนที่ ↗</t>
        </is>
      </c>
    </row>
    <row r="25" ht="20" customHeight="1">
      <c r="A25" s="50" t="inlineStr">
        <is>
          <t>bangkok-restaurant-sugar-bliss-ashton-silom</t>
        </is>
      </c>
      <c r="B25" s="51" t="inlineStr">
        <is>
          <t>restaurant</t>
        </is>
      </c>
      <c r="C25" s="52" t="inlineStr">
        <is>
          <t>Sugar Bliss Coffee &amp; Brunch (Ashton Silom)</t>
        </is>
      </c>
      <c r="D25" s="53" t="inlineStr">
        <is>
          <t>สีลม</t>
        </is>
      </c>
      <c r="E25" s="54" t="n">
        <v>13.7263512</v>
      </c>
      <c r="F25" s="55" t="n">
        <v>100.5268077</v>
      </c>
      <c r="G25" s="56" t="inlineStr">
        <is>
          <t>cafe</t>
        </is>
      </c>
      <c r="H25" s="51" t="n">
        <v>2</v>
      </c>
      <c r="I25" s="57" t="n">
        <v>5</v>
      </c>
      <c r="J25" s="58" t="inlineStr">
        <is>
          <t>08:00-18:00</t>
        </is>
      </c>
      <c r="K25" s="51" t="inlineStr">
        <is>
          <t>08:00-18:00</t>
        </is>
      </c>
      <c r="L25" s="51" t="inlineStr">
        <is>
          <t>08:00-18:00</t>
        </is>
      </c>
      <c r="M25" s="51" t="inlineStr">
        <is>
          <t>08:00-18:00</t>
        </is>
      </c>
      <c r="N25" s="51" t="inlineStr">
        <is>
          <t>08:00-18:00</t>
        </is>
      </c>
      <c r="O25" s="51" t="inlineStr">
        <is>
          <t>08:00-18:00</t>
        </is>
      </c>
      <c r="P25" s="51" t="inlineStr">
        <is>
          <t>08:00-18:00</t>
        </is>
      </c>
      <c r="Q25" s="58" t="n">
        <v>45</v>
      </c>
      <c r="R25" s="59" t="n">
        <v>0</v>
      </c>
      <c r="S25" s="53" t="inlineStr">
        <is>
          <t>คาเฟ่กาแฟและบรันช์ย่านสีลม ใกล้ตึกมหานคร</t>
        </is>
      </c>
      <c r="T25" s="51" t="n"/>
      <c r="U25" s="58" t="inlineStr">
        <is>
          <t>Y</t>
        </is>
      </c>
      <c r="V25" s="53" t="n"/>
      <c r="W25" s="53" t="n"/>
      <c r="X25" s="60" t="inlineStr">
        <is>
          <t>ร้านเครื่องดื่ม</t>
        </is>
      </c>
      <c r="Y25" s="61" t="inlineStr">
        <is>
          <t>SkyWalk King Power Mahanakhon (คิงเพาเวอร์ มหานคร)</t>
        </is>
      </c>
      <c r="Z25" s="62" t="n">
        <v>0.32</v>
      </c>
      <c r="AA25" s="61" t="inlineStr">
        <is>
          <t>Sugar Bliss Coffee &amp; Brunch (Ashton Silom)</t>
        </is>
      </c>
      <c r="AB25" s="63" t="n">
        <v>60</v>
      </c>
      <c r="AC25" s="61" t="inlineStr">
        <is>
          <t>ร้านกาแฟ</t>
        </is>
      </c>
      <c r="AD25" s="61" t="inlineStr">
        <is>
          <t>Google Maps (รายวัน)</t>
        </is>
      </c>
      <c r="AE25" s="61" t="inlineStr">
        <is>
          <t>ทุกวัน 08:00-18:00</t>
        </is>
      </c>
      <c r="AF25" s="61" t="inlineStr">
        <is>
          <t>ประมาณการจากประเภทร้าน/ทำเล (ยังไม่ยืนยัน)</t>
        </is>
      </c>
      <c r="AG25" s="63" t="n"/>
      <c r="AH25" s="61" t="inlineStr">
        <is>
          <t>Ashton Silom ถ.สีลม สุริยวงศ์ บางรัก</t>
        </is>
      </c>
      <c r="AI25" s="61" t="inlineStr">
        <is>
          <t>+66 93 452 2989</t>
        </is>
      </c>
      <c r="AJ25" s="61" t="inlineStr">
        <is>
          <t>ChIJ_9mRbwqZ4jAR5qjatMOK910</t>
        </is>
      </c>
      <c r="AK25" s="64" t="inlineStr">
        <is>
          <t>เปิดแผนที่ ↗</t>
        </is>
      </c>
    </row>
    <row r="26" ht="20" customHeight="1">
      <c r="A26" s="50" t="inlineStr">
        <is>
          <t>bangkok-restaurant-still-bean-silom</t>
        </is>
      </c>
      <c r="B26" s="51" t="inlineStr">
        <is>
          <t>restaurant</t>
        </is>
      </c>
      <c r="C26" s="52" t="inlineStr">
        <is>
          <t>Still Bean — Silom</t>
        </is>
      </c>
      <c r="D26" s="53" t="inlineStr">
        <is>
          <t>สีลม</t>
        </is>
      </c>
      <c r="E26" s="54" t="n">
        <v>13.7274251</v>
      </c>
      <c r="F26" s="55" t="n">
        <v>100.5332886</v>
      </c>
      <c r="G26" s="56" t="inlineStr">
        <is>
          <t>cafe</t>
        </is>
      </c>
      <c r="H26" s="51" t="n">
        <v>2</v>
      </c>
      <c r="I26" s="57" t="n">
        <v>4.9</v>
      </c>
      <c r="J26" s="58" t="inlineStr">
        <is>
          <t>07:30-20:00</t>
        </is>
      </c>
      <c r="K26" s="51" t="inlineStr">
        <is>
          <t>07:30-20:00</t>
        </is>
      </c>
      <c r="L26" s="51" t="inlineStr">
        <is>
          <t>07:30-20:00</t>
        </is>
      </c>
      <c r="M26" s="51" t="inlineStr">
        <is>
          <t>07:30-20:00</t>
        </is>
      </c>
      <c r="N26" s="51" t="inlineStr">
        <is>
          <t>07:30-20:00</t>
        </is>
      </c>
      <c r="O26" s="51" t="inlineStr">
        <is>
          <t>07:30-20:00</t>
        </is>
      </c>
      <c r="P26" s="51" t="inlineStr">
        <is>
          <t>07:30-20:00</t>
        </is>
      </c>
      <c r="Q26" s="58" t="n">
        <v>30</v>
      </c>
      <c r="R26" s="59" t="n">
        <v>0</v>
      </c>
      <c r="S26" s="53" t="inlineStr">
        <is>
          <t>ร้านกาแฟสเปเชียลตี้บนถนนคอนแวนต์ ย่านสีลม</t>
        </is>
      </c>
      <c r="T26" s="51" t="n"/>
      <c r="U26" s="58" t="inlineStr">
        <is>
          <t>N</t>
        </is>
      </c>
      <c r="V26" s="53" t="n"/>
      <c r="W26" s="53" t="n"/>
      <c r="X26" s="60" t="inlineStr">
        <is>
          <t>ร้านเครื่องดื่ม</t>
        </is>
      </c>
      <c r="Y26" s="61" t="inlineStr">
        <is>
          <t>SkyWalk King Power Mahanakhon (คิงเพาเวอร์ มหานคร)</t>
        </is>
      </c>
      <c r="Z26" s="62" t="n">
        <v>0.64</v>
      </c>
      <c r="AA26" s="61" t="inlineStr">
        <is>
          <t>Still Bean — Silom</t>
        </is>
      </c>
      <c r="AB26" s="63" t="n">
        <v>602</v>
      </c>
      <c r="AC26" s="61" t="inlineStr">
        <is>
          <t>ร้านกาแฟ</t>
        </is>
      </c>
      <c r="AD26" s="61" t="inlineStr">
        <is>
          <t>Google Maps (รายวัน)</t>
        </is>
      </c>
      <c r="AE26" s="61" t="inlineStr">
        <is>
          <t>ทุกวัน 07:30-20:00</t>
        </is>
      </c>
      <c r="AF26" s="61" t="inlineStr">
        <is>
          <t>ประมาณการจากประเภทร้าน/ทำเล (ยังไม่ยืนยัน)</t>
        </is>
      </c>
      <c r="AG26" s="63" t="n"/>
      <c r="AH26" s="61" t="inlineStr">
        <is>
          <t>2, 3 ถ.คอนแวนต์ สีลม บางรัก</t>
        </is>
      </c>
      <c r="AI26" s="61" t="inlineStr">
        <is>
          <t>+66 2 000 0101</t>
        </is>
      </c>
      <c r="AJ26" s="61" t="inlineStr">
        <is>
          <t>ChIJpY1mWCaf4jARIHPxN0HALGc</t>
        </is>
      </c>
      <c r="AK26" s="64" t="inlineStr">
        <is>
          <t>เปิดแผนที่ ↗</t>
        </is>
      </c>
    </row>
    <row r="27" ht="20" customHeight="1">
      <c r="A27" s="50" t="inlineStr">
        <is>
          <t>bangkok-restaurant-gatta-cafe-park-silom</t>
        </is>
      </c>
      <c r="B27" s="51" t="inlineStr">
        <is>
          <t>restaurant</t>
        </is>
      </c>
      <c r="C27" s="52" t="inlineStr">
        <is>
          <t>GATTA Cafe (Park Silom) - Specialty Coffee</t>
        </is>
      </c>
      <c r="D27" s="53" t="inlineStr">
        <is>
          <t>สีลม</t>
        </is>
      </c>
      <c r="E27" s="54" t="n">
        <v>13.7278606</v>
      </c>
      <c r="F27" s="55" t="n">
        <v>100.5335331</v>
      </c>
      <c r="G27" s="56" t="inlineStr">
        <is>
          <t>cafe</t>
        </is>
      </c>
      <c r="H27" s="51" t="n">
        <v>2</v>
      </c>
      <c r="I27" s="57" t="n">
        <v>4.9</v>
      </c>
      <c r="J27" s="58" t="inlineStr">
        <is>
          <t>07:00-17:30</t>
        </is>
      </c>
      <c r="K27" s="51" t="inlineStr">
        <is>
          <t>07:00-17:30</t>
        </is>
      </c>
      <c r="L27" s="51" t="inlineStr">
        <is>
          <t>07:00-17:30</t>
        </is>
      </c>
      <c r="M27" s="51" t="inlineStr">
        <is>
          <t>07:00-17:30</t>
        </is>
      </c>
      <c r="N27" s="51" t="inlineStr">
        <is>
          <t>07:00-17:30</t>
        </is>
      </c>
      <c r="O27" s="51" t="inlineStr">
        <is>
          <t>08:00-16:30</t>
        </is>
      </c>
      <c r="P27" s="51" t="inlineStr">
        <is>
          <t>08:00-16:30</t>
        </is>
      </c>
      <c r="Q27" s="58" t="n">
        <v>30</v>
      </c>
      <c r="R27" s="59" t="n">
        <v>0</v>
      </c>
      <c r="S27" s="53" t="inlineStr">
        <is>
          <t>ร้านกาแฟสเปเชียลตี้และโรงคั่วกาแฟในพาร์คสีลม</t>
        </is>
      </c>
      <c r="T27" s="51" t="n"/>
      <c r="U27" s="58" t="inlineStr">
        <is>
          <t>N</t>
        </is>
      </c>
      <c r="V27" s="53" t="n"/>
      <c r="W27" s="53" t="n"/>
      <c r="X27" s="60" t="inlineStr">
        <is>
          <t>ร้านเครื่องดื่ม</t>
        </is>
      </c>
      <c r="Y27" s="61" t="inlineStr">
        <is>
          <t>SkyWalk King Power Mahanakhon (คิงเพาเวอร์ มหานคร)</t>
        </is>
      </c>
      <c r="Z27" s="62" t="n">
        <v>0.6899999999999999</v>
      </c>
      <c r="AA27" s="61" t="inlineStr">
        <is>
          <t>GATTA CAfe (Park Silom) - Specialty Coffee</t>
        </is>
      </c>
      <c r="AB27" s="63" t="n"/>
      <c r="AC27" s="61" t="inlineStr">
        <is>
          <t>ร้านกาแฟ, โรงคั่วกาแฟ, ร้านอุปกรณ์กาแฟ</t>
        </is>
      </c>
      <c r="AD27" s="61" t="inlineStr">
        <is>
          <t>ตารางของเพื่อน (Google ให้มาแค่ 1 วัน)</t>
        </is>
      </c>
      <c r="AE27" s="61" t="inlineStr">
        <is>
          <t>จ-ศ 07:00-17:30 / ส-อา 08:00-16:30</t>
        </is>
      </c>
      <c r="AF27" s="61" t="inlineStr">
        <is>
          <t>ประมาณการจากประเภทร้าน/ทำเล (ยังไม่ยืนยัน)</t>
        </is>
      </c>
      <c r="AG27" s="63" t="n"/>
      <c r="AH27" s="61" t="inlineStr">
        <is>
          <t>ชั้น L Park Silom ถ.สีลม บางรัก</t>
        </is>
      </c>
      <c r="AI27" s="61" t="inlineStr">
        <is>
          <t>+66 96 079 8822</t>
        </is>
      </c>
      <c r="AJ27" s="61" t="inlineStr">
        <is>
          <t>ChIJ54yK4R2f4jARqeeHInvT16Y</t>
        </is>
      </c>
      <c r="AK27" s="64" t="inlineStr">
        <is>
          <t>เปิดแผนที่ ↗</t>
        </is>
      </c>
    </row>
    <row r="28" ht="20" customHeight="1">
      <c r="A28" s="50" t="inlineStr">
        <is>
          <t>bangkok-restaurant-brioche-from-heaven</t>
        </is>
      </c>
      <c r="B28" s="51" t="inlineStr">
        <is>
          <t>restaurant</t>
        </is>
      </c>
      <c r="C28" s="52" t="inlineStr">
        <is>
          <t>Brioche from Heaven</t>
        </is>
      </c>
      <c r="D28" s="53" t="inlineStr">
        <is>
          <t>สีลม</t>
        </is>
      </c>
      <c r="E28" s="54" t="n">
        <v>13.724035</v>
      </c>
      <c r="F28" s="55" t="n">
        <v>100.5295963</v>
      </c>
      <c r="G28" s="56" t="inlineStr">
        <is>
          <t>cafe</t>
        </is>
      </c>
      <c r="H28" s="51" t="n">
        <v>2</v>
      </c>
      <c r="I28" s="57" t="n">
        <v>4.4</v>
      </c>
      <c r="J28" s="58" t="inlineStr">
        <is>
          <t>08:30-18:30</t>
        </is>
      </c>
      <c r="K28" s="51" t="inlineStr">
        <is>
          <t>08:30-18:30</t>
        </is>
      </c>
      <c r="L28" s="51" t="inlineStr">
        <is>
          <t>08:30-18:30</t>
        </is>
      </c>
      <c r="M28" s="51" t="inlineStr">
        <is>
          <t>08:30-18:30</t>
        </is>
      </c>
      <c r="N28" s="51" t="inlineStr">
        <is>
          <t>08:30-18:30</t>
        </is>
      </c>
      <c r="O28" s="51" t="inlineStr">
        <is>
          <t>08:30-18:30</t>
        </is>
      </c>
      <c r="P28" s="51" t="inlineStr">
        <is>
          <t>08:30-18:30</t>
        </is>
      </c>
      <c r="Q28" s="58" t="n">
        <v>30</v>
      </c>
      <c r="R28" s="59" t="n">
        <v>0</v>
      </c>
      <c r="S28" s="53" t="inlineStr">
        <is>
          <t>ร้านเบเกอรี่ขึ้นชื่อเรื่องบริยอช ย่านสีลม-นราธิวาสฯ</t>
        </is>
      </c>
      <c r="T28" s="51" t="n"/>
      <c r="U28" s="58" t="inlineStr">
        <is>
          <t>N</t>
        </is>
      </c>
      <c r="V28" s="53" t="n"/>
      <c r="W28" s="53" t="n"/>
      <c r="X28" s="60" t="inlineStr">
        <is>
          <t>ร้านของหวาน</t>
        </is>
      </c>
      <c r="Y28" s="61" t="inlineStr">
        <is>
          <t>SkyWalk King Power Mahanakhon (คิงเพาเวอร์ มหานคร)</t>
        </is>
      </c>
      <c r="Z28" s="62" t="n">
        <v>0.12</v>
      </c>
      <c r="AA28" s="61" t="inlineStr">
        <is>
          <t>บริยอช ฟอร์ม เฮฟเว่น</t>
        </is>
      </c>
      <c r="AB28" s="63" t="n">
        <v>1411</v>
      </c>
      <c r="AC28" s="61" t="inlineStr">
        <is>
          <t>ร้านเบเกอรี่</t>
        </is>
      </c>
      <c r="AD28" s="61" t="inlineStr">
        <is>
          <t>Google Maps (รายวัน)</t>
        </is>
      </c>
      <c r="AE28" s="61" t="inlineStr">
        <is>
          <t>ทุกวัน 08:30-18:30</t>
        </is>
      </c>
      <c r="AF28" s="61" t="inlineStr">
        <is>
          <t>ประมาณการจากประเภทร้าน/ทำเล (ยังไม่ยืนยัน)</t>
        </is>
      </c>
      <c r="AG28" s="63" t="n"/>
      <c r="AH28" s="61" t="inlineStr">
        <is>
          <t>156 ถ.นราธิวาสราชนครินทร์ สีลม บางรัก</t>
        </is>
      </c>
      <c r="AI28" s="61" t="inlineStr">
        <is>
          <t>+66 64 847 0049</t>
        </is>
      </c>
      <c r="AJ28" s="61" t="inlineStr">
        <is>
          <t>ChIJsbfRmjGZ4jARcKFHjhSe1ls</t>
        </is>
      </c>
      <c r="AK28" s="64" t="inlineStr">
        <is>
          <t>เปิดแผนที่ ↗</t>
        </is>
      </c>
    </row>
    <row r="29" ht="20" customHeight="1">
      <c r="A29" s="50" t="inlineStr">
        <is>
          <t>bangkok-restaurant-after-you-silom-complex</t>
        </is>
      </c>
      <c r="B29" s="51" t="inlineStr">
        <is>
          <t>restaurant</t>
        </is>
      </c>
      <c r="C29" s="52" t="inlineStr">
        <is>
          <t>After You Dessert Café (Silom Complex)</t>
        </is>
      </c>
      <c r="D29" s="53" t="inlineStr">
        <is>
          <t>สีลม</t>
        </is>
      </c>
      <c r="E29" s="54" t="n">
        <v>13.7284734</v>
      </c>
      <c r="F29" s="55" t="n">
        <v>100.5350383</v>
      </c>
      <c r="G29" s="56" t="inlineStr">
        <is>
          <t>cafe,family</t>
        </is>
      </c>
      <c r="H29" s="51" t="n">
        <v>2</v>
      </c>
      <c r="I29" s="57" t="n">
        <v>4.4</v>
      </c>
      <c r="J29" s="58" t="inlineStr">
        <is>
          <t>10:30-21:00</t>
        </is>
      </c>
      <c r="K29" s="51" t="inlineStr">
        <is>
          <t>10:30-21:00</t>
        </is>
      </c>
      <c r="L29" s="51" t="inlineStr">
        <is>
          <t>10:30-21:00</t>
        </is>
      </c>
      <c r="M29" s="51" t="inlineStr">
        <is>
          <t>10:30-21:00</t>
        </is>
      </c>
      <c r="N29" s="51" t="inlineStr">
        <is>
          <t>10:30-21:00</t>
        </is>
      </c>
      <c r="O29" s="51" t="inlineStr">
        <is>
          <t>10:30-21:00</t>
        </is>
      </c>
      <c r="P29" s="51" t="inlineStr">
        <is>
          <t>10:30-21:00</t>
        </is>
      </c>
      <c r="Q29" s="58" t="n">
        <v>45</v>
      </c>
      <c r="R29" s="59" t="n">
        <v>0</v>
      </c>
      <c r="S29" s="53" t="inlineStr">
        <is>
          <t>ร้านของหวานชื่อดัง ขึ้นชื่อเรื่องบิงซูและฮันนี่โทสต์ ในสีลมคอมเพล็กซ์</t>
        </is>
      </c>
      <c r="T29" s="51" t="n"/>
      <c r="U29" s="58" t="inlineStr">
        <is>
          <t>N</t>
        </is>
      </c>
      <c r="V29" s="53" t="n"/>
      <c r="W29" s="53" t="n"/>
      <c r="X29" s="60" t="inlineStr">
        <is>
          <t>ร้านของหวาน</t>
        </is>
      </c>
      <c r="Y29" s="61" t="inlineStr">
        <is>
          <t>SkyWalk King Power Mahanakhon (คิงเพาเวอร์ มหานคร)</t>
        </is>
      </c>
      <c r="Z29" s="62" t="n">
        <v>0.86</v>
      </c>
      <c r="AA29" s="61" t="inlineStr">
        <is>
          <t>อาฟเตอร์ ยู - สีลม คอมเพล็กซ์</t>
        </is>
      </c>
      <c r="AB29" s="63" t="n">
        <v>1350</v>
      </c>
      <c r="AC29" s="61" t="inlineStr">
        <is>
          <t>ร้านขนมหวาน, ร้านเบเกอรี่</t>
        </is>
      </c>
      <c r="AD29" s="61" t="inlineStr">
        <is>
          <t>Google Maps (รายวัน)</t>
        </is>
      </c>
      <c r="AE29" s="61" t="inlineStr">
        <is>
          <t>ทุกวัน 10:30-21:00</t>
        </is>
      </c>
      <c r="AF29" s="61" t="inlineStr">
        <is>
          <t>ประมาณการจากประเภทร้าน/ทำเล (ยังไม่ยืนยัน)</t>
        </is>
      </c>
      <c r="AG29" s="63" t="n"/>
      <c r="AH29" s="61" t="inlineStr">
        <is>
          <t>Silom Complex ชั้น 2 191 ถ.สีลม บางรัก</t>
        </is>
      </c>
      <c r="AI29" s="61" t="inlineStr">
        <is>
          <t>+66 2 231 3255</t>
        </is>
      </c>
      <c r="AJ29" s="61" t="inlineStr">
        <is>
          <t>ChIJa2em1dGY4jARkD433irtHU8</t>
        </is>
      </c>
      <c r="AK29" s="64" t="inlineStr">
        <is>
          <t>เปิดแผนที่ ↗</t>
        </is>
      </c>
    </row>
    <row r="30" ht="20" customHeight="1">
      <c r="A30" s="50" t="inlineStr">
        <is>
          <t>bangkok-restaurant-kyo-roll-en-silom-complex</t>
        </is>
      </c>
      <c r="B30" s="51" t="inlineStr">
        <is>
          <t>restaurant</t>
        </is>
      </c>
      <c r="C30" s="52" t="inlineStr">
        <is>
          <t>Kyo Roll En (Silom Complex)</t>
        </is>
      </c>
      <c r="D30" s="53" t="inlineStr">
        <is>
          <t>สีลม</t>
        </is>
      </c>
      <c r="E30" s="54" t="n">
        <v>13.7280846</v>
      </c>
      <c r="F30" s="55" t="n">
        <v>100.5349377</v>
      </c>
      <c r="G30" s="56" t="inlineStr">
        <is>
          <t>cafe</t>
        </is>
      </c>
      <c r="H30" s="51" t="n">
        <v>2</v>
      </c>
      <c r="I30" s="57" t="n">
        <v>4.1</v>
      </c>
      <c r="J30" s="58" t="inlineStr">
        <is>
          <t>10:30-22:00</t>
        </is>
      </c>
      <c r="K30" s="51" t="inlineStr">
        <is>
          <t>10:30-22:00</t>
        </is>
      </c>
      <c r="L30" s="51" t="inlineStr">
        <is>
          <t>10:30-22:00</t>
        </is>
      </c>
      <c r="M30" s="51" t="inlineStr">
        <is>
          <t>10:30-22:00</t>
        </is>
      </c>
      <c r="N30" s="51" t="inlineStr">
        <is>
          <t>10:30-22:00</t>
        </is>
      </c>
      <c r="O30" s="51" t="inlineStr">
        <is>
          <t>10:30-22:00</t>
        </is>
      </c>
      <c r="P30" s="51" t="inlineStr">
        <is>
          <t>10:30-22:00</t>
        </is>
      </c>
      <c r="Q30" s="58" t="n">
        <v>30</v>
      </c>
      <c r="R30" s="59" t="n">
        <v>0</v>
      </c>
      <c r="S30" s="53" t="inlineStr">
        <is>
          <t>ร้านโรลเค้กและของหวานสไตล์ญี่ปุ่น ในสีลมคอมเพล็กซ์</t>
        </is>
      </c>
      <c r="T30" s="51" t="n"/>
      <c r="U30" s="58" t="inlineStr">
        <is>
          <t>N</t>
        </is>
      </c>
      <c r="V30" s="53" t="n"/>
      <c r="W30" s="53" t="n"/>
      <c r="X30" s="60" t="inlineStr">
        <is>
          <t>ร้านของหวาน</t>
        </is>
      </c>
      <c r="Y30" s="61" t="inlineStr">
        <is>
          <t>SkyWalk King Power Mahanakhon (คิงเพาเวอร์ มหานคร)</t>
        </is>
      </c>
      <c r="Z30" s="62" t="n">
        <v>0.83</v>
      </c>
      <c r="AA30" s="61" t="inlineStr">
        <is>
          <t>เกียวโรลเอนสีลมคอมเพล็กซ์</t>
        </is>
      </c>
      <c r="AB30" s="63" t="n">
        <v>61</v>
      </c>
      <c r="AC30" s="61" t="inlineStr">
        <is>
          <t>ร้านขนมหวาน</t>
        </is>
      </c>
      <c r="AD30" s="61" t="inlineStr">
        <is>
          <t>Google Maps (รายวัน)</t>
        </is>
      </c>
      <c r="AE30" s="61" t="inlineStr">
        <is>
          <t>ทุกวัน 10:30-22:00</t>
        </is>
      </c>
      <c r="AF30" s="61" t="inlineStr">
        <is>
          <t>ประมาณการจากประเภทร้าน/ทำเล (ยังไม่ยืนยัน)</t>
        </is>
      </c>
      <c r="AG30" s="63" t="n"/>
      <c r="AH30" s="61" t="inlineStr">
        <is>
          <t>Silom Complex ชั้น B 191 ถ.สีลม บางรัก</t>
        </is>
      </c>
      <c r="AI30" s="61" t="inlineStr">
        <is>
          <t>+66 65 717 9010</t>
        </is>
      </c>
      <c r="AJ30" s="61" t="inlineStr">
        <is>
          <t>ChIJr9hEAyyf4jARq1DOwvgEalo</t>
        </is>
      </c>
      <c r="AK30" s="64" t="inlineStr">
        <is>
          <t>เปิดแผนที่ ↗</t>
        </is>
      </c>
    </row>
    <row r="31" ht="20" customHeight="1">
      <c r="A31" s="50" t="inlineStr">
        <is>
          <t>bangkok-restaurant-thong-heng-lee</t>
        </is>
      </c>
      <c r="B31" s="51" t="inlineStr">
        <is>
          <t>restaurant</t>
        </is>
      </c>
      <c r="C31" s="52" t="inlineStr">
        <is>
          <t>Thong Heng Lee Restaurant</t>
        </is>
      </c>
      <c r="D31" s="53" t="inlineStr">
        <is>
          <t>เกาะรัตนโกสินทร์</t>
        </is>
      </c>
      <c r="E31" s="54" t="n">
        <v>13.7526785</v>
      </c>
      <c r="F31" s="55" t="n">
        <v>100.4893907</v>
      </c>
      <c r="G31" s="56" t="inlineStr">
        <is>
          <t>localFood</t>
        </is>
      </c>
      <c r="H31" s="51" t="n">
        <v>1</v>
      </c>
      <c r="I31" s="57" t="n">
        <v>4.8</v>
      </c>
      <c r="J31" s="58" t="n"/>
      <c r="K31" s="51" t="inlineStr">
        <is>
          <t>08:30-16:30</t>
        </is>
      </c>
      <c r="L31" s="51" t="inlineStr">
        <is>
          <t>08:30-16:30</t>
        </is>
      </c>
      <c r="M31" s="51" t="inlineStr">
        <is>
          <t>08:30-16:30</t>
        </is>
      </c>
      <c r="N31" s="51" t="inlineStr">
        <is>
          <t>08:30-16:30</t>
        </is>
      </c>
      <c r="O31" s="51" t="inlineStr">
        <is>
          <t>08:30-16:30</t>
        </is>
      </c>
      <c r="P31" s="51" t="inlineStr">
        <is>
          <t>08:30-16:30</t>
        </is>
      </c>
      <c r="Q31" s="58" t="n">
        <v>60</v>
      </c>
      <c r="R31" s="59" t="n">
        <v>0</v>
      </c>
      <c r="S31" s="53" t="inlineStr">
        <is>
          <t>ร้านอาหารไทย-จีนย่านท่าช้าง ราคาย่อมเยา มีของหวานและไอศกรีม</t>
        </is>
      </c>
      <c r="T31" s="51" t="n"/>
      <c r="U31" s="58" t="inlineStr">
        <is>
          <t>Y</t>
        </is>
      </c>
      <c r="V31" s="53" t="n"/>
      <c r="W31" s="53" t="n"/>
      <c r="X31" s="60" t="inlineStr">
        <is>
          <t>ร้านอาหาร</t>
        </is>
      </c>
      <c r="Y31" s="61" t="inlineStr">
        <is>
          <t>วัดพระศรีรัตนศาสดาราม (วัดพระแก้ว)</t>
        </is>
      </c>
      <c r="Z31" s="62" t="n">
        <v>0.38</v>
      </c>
      <c r="AA31" s="61" t="inlineStr">
        <is>
          <t>ร้านอาหารท่งเฮงหลี</t>
        </is>
      </c>
      <c r="AB31" s="63" t="n">
        <v>1591</v>
      </c>
      <c r="AC31" s="61" t="inlineStr">
        <is>
          <t>ภัตตาคารอาหารไทย, ร้านของหวาน, ร้านไอศกรีม</t>
        </is>
      </c>
      <c r="AD31" s="61" t="inlineStr">
        <is>
          <t>Google Maps (รายวัน)</t>
        </is>
      </c>
      <c r="AE31" s="61" t="inlineStr">
        <is>
          <t>อ-อา 08:30-16:30 (ปิดวันจันทร์)</t>
        </is>
      </c>
      <c r="AF31" s="61" t="inlineStr">
        <is>
          <t>ประมาณการจากประเภทร้าน/ทำเล (ยังไม่ยืนยัน)</t>
        </is>
      </c>
      <c r="AG31" s="63" t="n"/>
      <c r="AH31" s="61" t="inlineStr">
        <is>
          <t>192-194 ถ.มหาราช พระบรมมหาราชวัง พระนคร</t>
        </is>
      </c>
      <c r="AI31" s="61" t="inlineStr">
        <is>
          <t>+66 81 649 4890</t>
        </is>
      </c>
      <c r="AJ31" s="61" t="inlineStr">
        <is>
          <t>ChIJqda0RQmZ4jAR861kobU9SaE</t>
        </is>
      </c>
      <c r="AK31" s="64" t="inlineStr">
        <is>
          <t>เปิดแผนที่ ↗</t>
        </is>
      </c>
    </row>
    <row r="32" ht="20" customHeight="1">
      <c r="A32" s="50" t="inlineStr">
        <is>
          <t>bangkok-restaurant-the-gate-grand-palace</t>
        </is>
      </c>
      <c r="B32" s="51" t="inlineStr">
        <is>
          <t>restaurant</t>
        </is>
      </c>
      <c r="C32" s="52" t="inlineStr">
        <is>
          <t>The Gate Grand Palace</t>
        </is>
      </c>
      <c r="D32" s="53" t="inlineStr">
        <is>
          <t>เกาะรัตนโกสินทร์</t>
        </is>
      </c>
      <c r="E32" s="54" t="n">
        <v>13.7521738</v>
      </c>
      <c r="F32" s="55" t="n">
        <v>100.4891456</v>
      </c>
      <c r="G32" s="56" t="inlineStr">
        <is>
          <t>localFood</t>
        </is>
      </c>
      <c r="H32" s="51" t="n">
        <v>2</v>
      </c>
      <c r="I32" s="57" t="n">
        <v>4.5</v>
      </c>
      <c r="J32" s="58" t="inlineStr">
        <is>
          <t>09:00-18:00</t>
        </is>
      </c>
      <c r="K32" s="51" t="inlineStr">
        <is>
          <t>09:00-18:00</t>
        </is>
      </c>
      <c r="L32" s="51" t="inlineStr">
        <is>
          <t>09:00-18:00</t>
        </is>
      </c>
      <c r="M32" s="51" t="inlineStr">
        <is>
          <t>09:00-18:00</t>
        </is>
      </c>
      <c r="N32" s="51" t="inlineStr">
        <is>
          <t>09:00-18:00</t>
        </is>
      </c>
      <c r="O32" s="51" t="inlineStr">
        <is>
          <t>09:00-18:00</t>
        </is>
      </c>
      <c r="P32" s="51" t="inlineStr">
        <is>
          <t>09:00-18:00</t>
        </is>
      </c>
      <c r="Q32" s="58" t="n">
        <v>60</v>
      </c>
      <c r="R32" s="59" t="n">
        <v>0</v>
      </c>
      <c r="S32" s="53" t="inlineStr">
        <is>
          <t>ร้านอาหารไทยบนถนนหน้าพระลาน ตรงข้ามพระบรมมหาราชวัง</t>
        </is>
      </c>
      <c r="T32" s="51" t="n"/>
      <c r="U32" s="58" t="inlineStr">
        <is>
          <t>Y</t>
        </is>
      </c>
      <c r="V32" s="53" t="n"/>
      <c r="W32" s="53" t="n"/>
      <c r="X32" s="60" t="inlineStr">
        <is>
          <t>ร้านอาหาร</t>
        </is>
      </c>
      <c r="Y32" s="61" t="inlineStr">
        <is>
          <t>วัดพระศรีรัตนศาสดาราม (วัดพระแก้ว)</t>
        </is>
      </c>
      <c r="Z32" s="62" t="n">
        <v>0.39</v>
      </c>
      <c r="AA32" s="61" t="inlineStr">
        <is>
          <t>เดอะ เกท (แกรนด์พาเลซ)</t>
        </is>
      </c>
      <c r="AB32" s="63" t="n">
        <v>621</v>
      </c>
      <c r="AC32" s="61" t="inlineStr">
        <is>
          <t>ภัตตาคารอาหารไทย</t>
        </is>
      </c>
      <c r="AD32" s="61" t="inlineStr">
        <is>
          <t>Google Maps (รายวัน)</t>
        </is>
      </c>
      <c r="AE32" s="61" t="inlineStr">
        <is>
          <t>ทุกวัน 09:00-18:00</t>
        </is>
      </c>
      <c r="AF32" s="61" t="inlineStr">
        <is>
          <t>ประมาณการจากประเภทร้าน/ทำเล (ยังไม่ยืนยัน)</t>
        </is>
      </c>
      <c r="AG32" s="63" t="n"/>
      <c r="AH32" s="61" t="inlineStr">
        <is>
          <t>77 ถ.หน้าพระลาน ท่าช้าง พระนคร</t>
        </is>
      </c>
      <c r="AI32" s="61" t="inlineStr">
        <is>
          <t>+66 82 752 4993</t>
        </is>
      </c>
      <c r="AJ32" s="61" t="inlineStr">
        <is>
          <t>ChIJXSG1gOGZ4jARQWWzQjSY8Hw</t>
        </is>
      </c>
      <c r="AK32" s="64" t="inlineStr">
        <is>
          <t>เปิดแผนที่ ↗</t>
        </is>
      </c>
    </row>
    <row r="33" ht="20" customHeight="1">
      <c r="A33" s="50" t="inlineStr">
        <is>
          <t>bangkok-restaurant-krua-na-wang</t>
        </is>
      </c>
      <c r="B33" s="51" t="inlineStr">
        <is>
          <t>restaurant</t>
        </is>
      </c>
      <c r="C33" s="52" t="inlineStr">
        <is>
          <t>Thai Royal Kitchen ครัวหน้าวัง</t>
        </is>
      </c>
      <c r="D33" s="53" t="inlineStr">
        <is>
          <t>เกาะรัตนโกสินทร์</t>
        </is>
      </c>
      <c r="E33" s="54" t="n">
        <v>13.7495286</v>
      </c>
      <c r="F33" s="55" t="n">
        <v>100.4982747</v>
      </c>
      <c r="G33" s="56" t="inlineStr">
        <is>
          <t>localFood</t>
        </is>
      </c>
      <c r="H33" s="51" t="n">
        <v>2</v>
      </c>
      <c r="I33" s="57" t="n">
        <v>4.9</v>
      </c>
      <c r="J33" s="58" t="inlineStr">
        <is>
          <t>05:30-14:00</t>
        </is>
      </c>
      <c r="K33" s="51" t="inlineStr">
        <is>
          <t>05:30-14:00</t>
        </is>
      </c>
      <c r="L33" s="51" t="inlineStr">
        <is>
          <t>05:30-14:00</t>
        </is>
      </c>
      <c r="M33" s="51" t="inlineStr">
        <is>
          <t>05:30-14:00</t>
        </is>
      </c>
      <c r="N33" s="51" t="inlineStr">
        <is>
          <t>05:30-14:00</t>
        </is>
      </c>
      <c r="O33" s="51" t="inlineStr">
        <is>
          <t>05:30-14:00</t>
        </is>
      </c>
      <c r="P33" s="51" t="inlineStr">
        <is>
          <t>05:30-14:00</t>
        </is>
      </c>
      <c r="Q33" s="58" t="n">
        <v>60</v>
      </c>
      <c r="R33" s="59" t="n">
        <v>0</v>
      </c>
      <c r="S33" s="53" t="inlineStr">
        <is>
          <t>ร้านอาหารไทยใกล้วัดราชบพิธ เดินถึงพระบรมมหาราชวังได้</t>
        </is>
      </c>
      <c r="T33" s="51" t="n"/>
      <c r="U33" s="58" t="inlineStr">
        <is>
          <t>Y</t>
        </is>
      </c>
      <c r="V33" s="53" t="n"/>
      <c r="W33" s="53" t="n"/>
      <c r="X33" s="60" t="inlineStr">
        <is>
          <t>ร้านอาหาร</t>
        </is>
      </c>
      <c r="Y33" s="61" t="inlineStr">
        <is>
          <t>วัดพระศรีรัตนศาสดาราม (วัดพระแก้ว)</t>
        </is>
      </c>
      <c r="Z33" s="62" t="n">
        <v>0.64</v>
      </c>
      <c r="AA33" s="61" t="inlineStr">
        <is>
          <t>ครัวหน้าวัง</t>
        </is>
      </c>
      <c r="AB33" s="63" t="n">
        <v>427</v>
      </c>
      <c r="AC33" s="61" t="inlineStr">
        <is>
          <t>ภัตตาคารอาหารไทย</t>
        </is>
      </c>
      <c r="AD33" s="61" t="inlineStr">
        <is>
          <t>Google Maps (รายวัน)</t>
        </is>
      </c>
      <c r="AE33" s="61" t="inlineStr">
        <is>
          <t>ทุกวัน 05:30-14:00 (แนะนำสั่งล่วงหน้า)</t>
        </is>
      </c>
      <c r="AF33" s="61" t="inlineStr">
        <is>
          <t>ประมาณการจากประเภทร้าน/ทำเล (ยังไม่ยืนยัน)</t>
        </is>
      </c>
      <c r="AG33" s="63" t="n"/>
      <c r="AH33" s="61" t="inlineStr">
        <is>
          <t>12 ถ.ราชบพิธ วัดราชบพิธ พระนคร</t>
        </is>
      </c>
      <c r="AI33" s="61" t="inlineStr">
        <is>
          <t>+66 63 965 5656</t>
        </is>
      </c>
      <c r="AJ33" s="61" t="inlineStr">
        <is>
          <t>ChIJ3RQGqDKZ4jARor7IX-x0y0s</t>
        </is>
      </c>
      <c r="AK33" s="64" t="inlineStr">
        <is>
          <t>เปิดแผนที่ ↗</t>
        </is>
      </c>
    </row>
    <row r="34" ht="20" customHeight="1">
      <c r="A34" s="50" t="inlineStr">
        <is>
          <t>bangkok-restaurant-tawang-thai-tea-wat-phra-kaew</t>
        </is>
      </c>
      <c r="B34" s="51" t="inlineStr">
        <is>
          <t>restaurant</t>
        </is>
      </c>
      <c r="C34" s="52" t="inlineStr">
        <is>
          <t>Tawang Thai Tea, Legendary of LIGOR @Wat Phra Kaew</t>
        </is>
      </c>
      <c r="D34" s="53" t="inlineStr">
        <is>
          <t>เกาะรัตนโกสินทร์</t>
        </is>
      </c>
      <c r="E34" s="54" t="n">
        <v>13.7525195</v>
      </c>
      <c r="F34" s="55" t="n">
        <v>100.4908506</v>
      </c>
      <c r="G34" s="56" t="inlineStr">
        <is>
          <t>cafe,localFood</t>
        </is>
      </c>
      <c r="H34" s="51" t="n">
        <v>1</v>
      </c>
      <c r="I34" s="57" t="n">
        <v>4.9</v>
      </c>
      <c r="J34" s="58" t="inlineStr">
        <is>
          <t>09:00-17:00</t>
        </is>
      </c>
      <c r="K34" s="51" t="inlineStr">
        <is>
          <t>09:00-17:00</t>
        </is>
      </c>
      <c r="L34" s="51" t="inlineStr">
        <is>
          <t>09:00-17:00</t>
        </is>
      </c>
      <c r="M34" s="51" t="inlineStr">
        <is>
          <t>09:00-17:00</t>
        </is>
      </c>
      <c r="N34" s="51" t="inlineStr">
        <is>
          <t>09:00-17:00</t>
        </is>
      </c>
      <c r="O34" s="51" t="inlineStr">
        <is>
          <t>09:00-17:00</t>
        </is>
      </c>
      <c r="P34" s="51" t="inlineStr">
        <is>
          <t>09:00-17:00</t>
        </is>
      </c>
      <c r="Q34" s="58" t="n">
        <v>20</v>
      </c>
      <c r="R34" s="59" t="n">
        <v>0</v>
      </c>
      <c r="S34" s="53" t="inlineStr">
        <is>
          <t>ร้านชาไทยสูตรเมืองลิกอร์ (นครศรีธรรมราช) บนถนนหน้าพระลาน</t>
        </is>
      </c>
      <c r="T34" s="51" t="n"/>
      <c r="U34" s="58" t="inlineStr">
        <is>
          <t>N</t>
        </is>
      </c>
      <c r="V34" s="53" t="n"/>
      <c r="W34" s="53" t="n"/>
      <c r="X34" s="60" t="inlineStr">
        <is>
          <t>ร้านเครื่องดื่ม</t>
        </is>
      </c>
      <c r="Y34" s="61" t="inlineStr">
        <is>
          <t>วัดพระศรีรัตนศาสดาราม (วัดพระแก้ว)</t>
        </is>
      </c>
      <c r="Z34" s="62" t="n">
        <v>0.23</v>
      </c>
      <c r="AA34" s="61" t="inlineStr">
        <is>
          <t>ท่าวัง ตำนานแห่งเมืองลิกอร์ สาขาวัดพระแก้ว</t>
        </is>
      </c>
      <c r="AB34" s="63" t="n">
        <v>103</v>
      </c>
      <c r="AC34" s="61" t="inlineStr">
        <is>
          <t>ร้านกาแฟ</t>
        </is>
      </c>
      <c r="AD34" s="61" t="inlineStr">
        <is>
          <t>Google Maps (รายวัน)</t>
        </is>
      </c>
      <c r="AE34" s="61" t="inlineStr">
        <is>
          <t>ทุกวัน 09:00-17:00</t>
        </is>
      </c>
      <c r="AF34" s="61" t="inlineStr">
        <is>
          <t>ประมาณการจากประเภทร้าน/ทำเล (ยังไม่ยืนยัน)</t>
        </is>
      </c>
      <c r="AG34" s="63" t="n"/>
      <c r="AH34" s="61" t="inlineStr">
        <is>
          <t>9 ถ.หน้าพระลาน พระบรมมหาราชวัง พระนคร</t>
        </is>
      </c>
      <c r="AI34" s="61" t="inlineStr">
        <is>
          <t>+66 88 980 9398</t>
        </is>
      </c>
      <c r="AJ34" s="61" t="inlineStr">
        <is>
          <t>ChIJX1I3HwCZ4jARxCmOcCGCapw</t>
        </is>
      </c>
      <c r="AK34" s="64" t="inlineStr">
        <is>
          <t>เปิดแผนที่ ↗</t>
        </is>
      </c>
    </row>
    <row r="35" ht="20" customHeight="1">
      <c r="A35" s="50" t="inlineStr">
        <is>
          <t>bangkok-restaurant-cloud-phranakhon</t>
        </is>
      </c>
      <c r="B35" s="51" t="inlineStr">
        <is>
          <t>restaurant</t>
        </is>
      </c>
      <c r="C35" s="52" t="inlineStr">
        <is>
          <t>Cloud Phranakhon</t>
        </is>
      </c>
      <c r="D35" s="53" t="inlineStr">
        <is>
          <t>เกาะรัตนโกสินทร์</t>
        </is>
      </c>
      <c r="E35" s="54" t="n">
        <v>13.75562</v>
      </c>
      <c r="F35" s="55" t="n">
        <v>100.4920533</v>
      </c>
      <c r="G35" s="56" t="inlineStr">
        <is>
          <t>cafe,localFood</t>
        </is>
      </c>
      <c r="H35" s="51" t="n">
        <v>2</v>
      </c>
      <c r="I35" s="57" t="n">
        <v>4.9</v>
      </c>
      <c r="J35" s="58" t="inlineStr">
        <is>
          <t>07:00-21:00</t>
        </is>
      </c>
      <c r="K35" s="51" t="inlineStr">
        <is>
          <t>07:00-21:00</t>
        </is>
      </c>
      <c r="L35" s="51" t="inlineStr">
        <is>
          <t>07:00-21:00</t>
        </is>
      </c>
      <c r="M35" s="51" t="inlineStr">
        <is>
          <t>07:00-21:00</t>
        </is>
      </c>
      <c r="N35" s="51" t="inlineStr">
        <is>
          <t>07:00-21:00</t>
        </is>
      </c>
      <c r="O35" s="51" t="inlineStr">
        <is>
          <t>07:00-21:00</t>
        </is>
      </c>
      <c r="P35" s="51" t="inlineStr">
        <is>
          <t>07:00-21:00</t>
        </is>
      </c>
      <c r="Q35" s="58" t="n">
        <v>60</v>
      </c>
      <c r="R35" s="59" t="n">
        <v>0</v>
      </c>
      <c r="S35" s="53" t="inlineStr">
        <is>
          <t>คาเฟ่และอาหารไทยมื้อเช้า-กลางวัน ในซอยหน้าพระธาตุ ใกล้ท่าช้าง</t>
        </is>
      </c>
      <c r="T35" s="51" t="n"/>
      <c r="U35" s="58" t="inlineStr">
        <is>
          <t>Y</t>
        </is>
      </c>
      <c r="V35" s="53" t="n"/>
      <c r="W35" s="53" t="n"/>
      <c r="X35" s="60" t="inlineStr">
        <is>
          <t>ร้านเครื่องดื่ม</t>
        </is>
      </c>
      <c r="Y35" s="61" t="inlineStr">
        <is>
          <t>วัดพระศรีรัตนศาสดาราม (วัดพระแก้ว)</t>
        </is>
      </c>
      <c r="Z35" s="62" t="n">
        <v>0.46</v>
      </c>
      <c r="AA35" s="61" t="inlineStr">
        <is>
          <t>Cloud Phranakhon</t>
        </is>
      </c>
      <c r="AB35" s="63" t="n">
        <v>126</v>
      </c>
      <c r="AC35" s="61" t="inlineStr">
        <is>
          <t>ร้านกาแฟ, ภัตตาคารอาหารเช้า, ภัตตาคารอาหารเช้าและกลางวัน, ร้านอาหาร, ภัตตาคารอาหารไทย</t>
        </is>
      </c>
      <c r="AD35" s="61" t="inlineStr">
        <is>
          <t>Google Maps (รายวัน)</t>
        </is>
      </c>
      <c r="AE35" s="61" t="inlineStr">
        <is>
          <t>ทุกวัน 07:00-21:00</t>
        </is>
      </c>
      <c r="AF35" s="61" t="inlineStr">
        <is>
          <t>ประมาณการจากประเภทร้าน/ทำเล (ยังไม่ยืนยัน)</t>
        </is>
      </c>
      <c r="AG35" s="63" t="n"/>
      <c r="AH35" s="61" t="inlineStr">
        <is>
          <t>ซ.หน้าพระธาตุ พระบรมมหาราชวัง พระนคร</t>
        </is>
      </c>
      <c r="AI35" s="61" t="inlineStr">
        <is>
          <t>+66 80 296 5549</t>
        </is>
      </c>
      <c r="AJ35" s="61" t="inlineStr">
        <is>
          <t>ChIJ0VnuaBeZ4jARYxkgVt-fU-o</t>
        </is>
      </c>
      <c r="AK35" s="64" t="inlineStr">
        <is>
          <t>เปิดแผนที่ ↗</t>
        </is>
      </c>
    </row>
    <row r="36" ht="20" customHeight="1">
      <c r="A36" s="50" t="inlineStr">
        <is>
          <t>bangkok-restaurant-chang-khua-tha-phra-chan</t>
        </is>
      </c>
      <c r="B36" s="51" t="inlineStr">
        <is>
          <t>restaurant</t>
        </is>
      </c>
      <c r="C36" s="52" t="inlineStr">
        <is>
          <t>ช่างคั่ว สาขาท่าพระจันทร์</t>
        </is>
      </c>
      <c r="D36" s="53" t="inlineStr">
        <is>
          <t>เกาะรัตนโกสินทร์</t>
        </is>
      </c>
      <c r="E36" s="54" t="n">
        <v>13.7559097</v>
      </c>
      <c r="F36" s="55" t="n">
        <v>100.4904113</v>
      </c>
      <c r="G36" s="56" t="inlineStr">
        <is>
          <t>cafe</t>
        </is>
      </c>
      <c r="H36" s="51" t="n">
        <v>2</v>
      </c>
      <c r="I36" s="57" t="n">
        <v>4.8</v>
      </c>
      <c r="J36" s="58" t="inlineStr">
        <is>
          <t>08:00-16:00</t>
        </is>
      </c>
      <c r="K36" s="51" t="inlineStr">
        <is>
          <t>08:00-16:00</t>
        </is>
      </c>
      <c r="L36" s="51" t="inlineStr">
        <is>
          <t>08:00-16:00</t>
        </is>
      </c>
      <c r="M36" s="51" t="inlineStr">
        <is>
          <t>08:00-16:00</t>
        </is>
      </c>
      <c r="N36" s="51" t="inlineStr">
        <is>
          <t>08:00-16:00</t>
        </is>
      </c>
      <c r="O36" s="51" t="inlineStr">
        <is>
          <t>08:00-16:00</t>
        </is>
      </c>
      <c r="P36" s="51" t="inlineStr">
        <is>
          <t>08:00-16:00</t>
        </is>
      </c>
      <c r="Q36" s="58" t="n">
        <v>30</v>
      </c>
      <c r="R36" s="59" t="n">
        <v>0</v>
      </c>
      <c r="S36" s="53" t="inlineStr">
        <is>
          <t>ร้านกาแฟคั่วเองย่านท่าพระจันทร์ ใกล้มหาวิทยาลัยธรรมศาสตร์</t>
        </is>
      </c>
      <c r="T36" s="51" t="n"/>
      <c r="U36" s="58" t="inlineStr">
        <is>
          <t>N</t>
        </is>
      </c>
      <c r="V36" s="53" t="n"/>
      <c r="W36" s="53" t="n"/>
      <c r="X36" s="60" t="inlineStr">
        <is>
          <t>ร้านเครื่องดื่ม</t>
        </is>
      </c>
      <c r="Y36" s="61" t="inlineStr">
        <is>
          <t>วัดพระศรีรัตนศาสดาราม (วัดพระแก้ว)</t>
        </is>
      </c>
      <c r="Z36" s="62" t="n">
        <v>0.55</v>
      </c>
      <c r="AA36" s="61" t="inlineStr">
        <is>
          <t>ช่างคั่ว สาขาท่าพระจันทร์</t>
        </is>
      </c>
      <c r="AB36" s="63" t="n">
        <v>234</v>
      </c>
      <c r="AC36" s="61" t="inlineStr">
        <is>
          <t>ร้านกาแฟ</t>
        </is>
      </c>
      <c r="AD36" s="61" t="inlineStr">
        <is>
          <t>Google Maps (รายวัน)</t>
        </is>
      </c>
      <c r="AE36" s="61" t="inlineStr">
        <is>
          <t>ทุกวัน 08:00-16:00</t>
        </is>
      </c>
      <c r="AF36" s="61" t="inlineStr">
        <is>
          <t>ประมาณการจากประเภทร้าน/ทำเล (ยังไม่ยืนยัน)</t>
        </is>
      </c>
      <c r="AG36" s="63" t="n"/>
      <c r="AH36" s="61" t="inlineStr">
        <is>
          <t>5-7 ซ.ท่าพระจันทร์ พระบรมมหาราชวัง พระนคร</t>
        </is>
      </c>
      <c r="AI36" s="61" t="inlineStr">
        <is>
          <t>+66 96 395 9446</t>
        </is>
      </c>
      <c r="AJ36" s="61" t="inlineStr">
        <is>
          <t>ChIJnx1_2XKZ4jARlAWQwKo5-_Y</t>
        </is>
      </c>
      <c r="AK36" s="64" t="inlineStr">
        <is>
          <t>เปิดแผนที่ ↗</t>
        </is>
      </c>
    </row>
    <row r="37" ht="20" customHeight="1">
      <c r="A37" s="50" t="inlineStr">
        <is>
          <t>bangkok-restaurant-nuttaporn-ice-cream</t>
        </is>
      </c>
      <c r="B37" s="51" t="inlineStr">
        <is>
          <t>restaurant</t>
        </is>
      </c>
      <c r="C37" s="52" t="inlineStr">
        <is>
          <t>Nuttaporn Ice Cream (ไอศกรีมมะพร้าวนัฐพร)</t>
        </is>
      </c>
      <c r="D37" s="53" t="inlineStr">
        <is>
          <t>เกาะรัตนโกสินทร์</t>
        </is>
      </c>
      <c r="E37" s="54" t="n">
        <v>13.7516701</v>
      </c>
      <c r="F37" s="55" t="n">
        <v>100.4974967</v>
      </c>
      <c r="G37" s="56" t="inlineStr">
        <is>
          <t>localFood</t>
        </is>
      </c>
      <c r="H37" s="51" t="n">
        <v>1</v>
      </c>
      <c r="I37" s="57" t="n">
        <v>4.5</v>
      </c>
      <c r="J37" s="58" t="inlineStr">
        <is>
          <t>09:00-17:00</t>
        </is>
      </c>
      <c r="K37" s="51" t="inlineStr">
        <is>
          <t>09:00-17:00</t>
        </is>
      </c>
      <c r="L37" s="51" t="inlineStr">
        <is>
          <t>09:00-17:00</t>
        </is>
      </c>
      <c r="M37" s="51" t="inlineStr">
        <is>
          <t>09:00-17:00</t>
        </is>
      </c>
      <c r="N37" s="51" t="inlineStr">
        <is>
          <t>09:00-17:00</t>
        </is>
      </c>
      <c r="O37" s="51" t="inlineStr">
        <is>
          <t>09:00-17:00</t>
        </is>
      </c>
      <c r="P37" s="51" t="n"/>
      <c r="Q37" s="58" t="n">
        <v>20</v>
      </c>
      <c r="R37" s="59" t="n">
        <v>0</v>
      </c>
      <c r="S37" s="53" t="inlineStr">
        <is>
          <t>ไอศกรีมกะทิสดสูตรโบราณ ย่านแพร่งภูธร</t>
        </is>
      </c>
      <c r="T37" s="51" t="n"/>
      <c r="U37" s="58" t="inlineStr">
        <is>
          <t>N</t>
        </is>
      </c>
      <c r="V37" s="53" t="n"/>
      <c r="W37" s="53" t="n"/>
      <c r="X37" s="60" t="inlineStr">
        <is>
          <t>ร้านของหวาน</t>
        </is>
      </c>
      <c r="Y37" s="61" t="inlineStr">
        <is>
          <t>วัดพระศรีรัตนศาสดาราม (วัดพระแก้ว)</t>
        </is>
      </c>
      <c r="Z37" s="62" t="n">
        <v>0.52</v>
      </c>
      <c r="AA37" s="61" t="inlineStr">
        <is>
          <t>นัฐพรไอศครีมกะทิสด</t>
        </is>
      </c>
      <c r="AB37" s="63" t="n"/>
      <c r="AC37" s="61" t="inlineStr">
        <is>
          <t>ร้านไอศกรีม</t>
        </is>
      </c>
      <c r="AD37" s="61" t="inlineStr">
        <is>
          <t>ตารางของเพื่อน (Google ให้มาแค่ 1 วัน)</t>
        </is>
      </c>
      <c r="AE37" s="61" t="inlineStr">
        <is>
          <t>จ-ส 09:00-17:00 (ปิดวันอาทิตย์)</t>
        </is>
      </c>
      <c r="AF37" s="61" t="inlineStr">
        <is>
          <t>ประมาณการจากประเภทร้าน/ทำเล (ยังไม่ยืนยัน)</t>
        </is>
      </c>
      <c r="AG37" s="63" t="n"/>
      <c r="AH37" s="61" t="inlineStr">
        <is>
          <t>94 ถ.แพร่งภูธร ศาลเจ้าพ่อเสือ พระนคร</t>
        </is>
      </c>
      <c r="AI37" s="61" t="inlineStr">
        <is>
          <t>+66 89 826 5752</t>
        </is>
      </c>
      <c r="AJ37" s="61" t="inlineStr">
        <is>
          <t>ChIJ5VJGvhGZ4jARSBZl5Kc7a2k</t>
        </is>
      </c>
      <c r="AK37" s="64" t="inlineStr">
        <is>
          <t>เปิดแผนที่ ↗</t>
        </is>
      </c>
    </row>
    <row r="38" ht="20" customHeight="1">
      <c r="A38" s="50" t="inlineStr">
        <is>
          <t>bangkok-restaurant-lung-daeng-phraeng-nara</t>
        </is>
      </c>
      <c r="B38" s="51" t="inlineStr">
        <is>
          <t>restaurant</t>
        </is>
      </c>
      <c r="C38" s="52" t="inlineStr">
        <is>
          <t>ร้านลุงแดง (ขนมไทยโบราณ แพร่งนรา)</t>
        </is>
      </c>
      <c r="D38" s="53" t="inlineStr">
        <is>
          <t>เกาะรัตนโกสินทร์</t>
        </is>
      </c>
      <c r="E38" s="54" t="n">
        <v>13.7524264</v>
      </c>
      <c r="F38" s="55" t="n">
        <v>100.4979987</v>
      </c>
      <c r="G38" s="56" t="inlineStr">
        <is>
          <t>localFood</t>
        </is>
      </c>
      <c r="H38" s="51" t="n">
        <v>1</v>
      </c>
      <c r="I38" s="57" t="n">
        <v>4.7</v>
      </c>
      <c r="J38" s="58" t="inlineStr">
        <is>
          <t>09:00-15:00</t>
        </is>
      </c>
      <c r="K38" s="51" t="inlineStr">
        <is>
          <t>09:00-15:00</t>
        </is>
      </c>
      <c r="L38" s="51" t="inlineStr">
        <is>
          <t>09:00-15:00</t>
        </is>
      </c>
      <c r="M38" s="51" t="inlineStr">
        <is>
          <t>09:00-15:00</t>
        </is>
      </c>
      <c r="N38" s="51" t="inlineStr">
        <is>
          <t>09:00-15:00</t>
        </is>
      </c>
      <c r="O38" s="51" t="n"/>
      <c r="P38" s="51" t="n"/>
      <c r="Q38" s="58" t="n">
        <v>20</v>
      </c>
      <c r="R38" s="59" t="n">
        <v>0</v>
      </c>
      <c r="S38" s="53" t="inlineStr">
        <is>
          <t>ร้านขนมไทยโบราณย่านแพร่งนรา</t>
        </is>
      </c>
      <c r="T38" s="51" t="n"/>
      <c r="U38" s="58" t="inlineStr">
        <is>
          <t>N</t>
        </is>
      </c>
      <c r="V38" s="53" t="n"/>
      <c r="W38" s="53" t="n"/>
      <c r="X38" s="60" t="inlineStr">
        <is>
          <t>ร้านของหวาน</t>
        </is>
      </c>
      <c r="Y38" s="61" t="inlineStr">
        <is>
          <t>วัดพระศรีรัตนศาสดาราม (วัดพระแก้ว)</t>
        </is>
      </c>
      <c r="Z38" s="62" t="n">
        <v>0.58</v>
      </c>
      <c r="AA38" s="61" t="inlineStr">
        <is>
          <t>ร้านลุงแดง</t>
        </is>
      </c>
      <c r="AB38" s="63" t="n">
        <v>63</v>
      </c>
      <c r="AC38" s="61" t="inlineStr">
        <is>
          <t>ร้านขนมหวาน</t>
        </is>
      </c>
      <c r="AD38" s="61" t="inlineStr">
        <is>
          <t>Google Maps (รายวัน)</t>
        </is>
      </c>
      <c r="AE38" s="61" t="inlineStr">
        <is>
          <t>จ-ศ 09:00-15:00 (ปิดเสาร์-อาทิตย์)</t>
        </is>
      </c>
      <c r="AF38" s="61" t="inlineStr">
        <is>
          <t>ประมาณการจากประเภทร้าน/ทำเล (ยังไม่ยืนยัน)</t>
        </is>
      </c>
      <c r="AG38" s="63" t="n"/>
      <c r="AH38" s="61" t="inlineStr">
        <is>
          <t>112 ถ.แพร่งนรา ศาลเจ้าพ่อเสือ พระนคร</t>
        </is>
      </c>
      <c r="AI38" s="61" t="inlineStr">
        <is>
          <t>+66 2 622 0404</t>
        </is>
      </c>
      <c r="AJ38" s="61" t="inlineStr">
        <is>
          <t>ChIJa0NEkBGZ4jARK8fGc1AlX4k</t>
        </is>
      </c>
      <c r="AK38" s="64" t="inlineStr">
        <is>
          <t>เปิดแผนที่ ↗</t>
        </is>
      </c>
    </row>
    <row r="39" ht="20" customHeight="1">
      <c r="A39" s="50" t="inlineStr">
        <is>
          <t>bangkok-restaurant-paulette-bkk</t>
        </is>
      </c>
      <c r="B39" s="51" t="inlineStr">
        <is>
          <t>restaurant</t>
        </is>
      </c>
      <c r="C39" s="52" t="inlineStr">
        <is>
          <t>PAULETTE BKK</t>
        </is>
      </c>
      <c r="D39" s="53" t="inlineStr">
        <is>
          <t>เกาะรัตนโกสินทร์</t>
        </is>
      </c>
      <c r="E39" s="54" t="n">
        <v>13.7495233</v>
      </c>
      <c r="F39" s="55" t="n">
        <v>100.4980413</v>
      </c>
      <c r="G39" s="56" t="inlineStr">
        <is>
          <t>cafe</t>
        </is>
      </c>
      <c r="H39" s="51" t="n">
        <v>2</v>
      </c>
      <c r="I39" s="57" t="n">
        <v>4.5</v>
      </c>
      <c r="J39" s="58" t="inlineStr">
        <is>
          <t>07:30-18:30</t>
        </is>
      </c>
      <c r="K39" s="51" t="inlineStr">
        <is>
          <t>07:30-18:30</t>
        </is>
      </c>
      <c r="L39" s="51" t="inlineStr">
        <is>
          <t>07:30-18:30</t>
        </is>
      </c>
      <c r="M39" s="51" t="inlineStr">
        <is>
          <t>07:30-18:30</t>
        </is>
      </c>
      <c r="N39" s="51" t="inlineStr">
        <is>
          <t>07:30-18:30</t>
        </is>
      </c>
      <c r="O39" s="51" t="inlineStr">
        <is>
          <t>07:30-18:30</t>
        </is>
      </c>
      <c r="P39" s="51" t="inlineStr">
        <is>
          <t>07:30-18:30</t>
        </is>
      </c>
      <c r="Q39" s="58" t="n">
        <v>45</v>
      </c>
      <c r="R39" s="59" t="n">
        <v>0</v>
      </c>
      <c r="S39" s="53" t="inlineStr">
        <is>
          <t>คาเฟ่และร้านขนมปังบนถนนเฟื่องนคร ใกล้วัดราชบพิธ</t>
        </is>
      </c>
      <c r="T39" s="51" t="n"/>
      <c r="U39" s="58" t="inlineStr">
        <is>
          <t>N</t>
        </is>
      </c>
      <c r="V39" s="53" t="n"/>
      <c r="W39" s="53" t="n"/>
      <c r="X39" s="60" t="inlineStr">
        <is>
          <t>ร้านของหวาน</t>
        </is>
      </c>
      <c r="Y39" s="61" t="inlineStr">
        <is>
          <t>วัดพระศรีรัตนศาสดาราม (วัดพระแก้ว)</t>
        </is>
      </c>
      <c r="Z39" s="62" t="n">
        <v>0.62</v>
      </c>
      <c r="AA39" s="61" t="inlineStr">
        <is>
          <t>PAULETTE BKK</t>
        </is>
      </c>
      <c r="AB39" s="63" t="n">
        <v>662</v>
      </c>
      <c r="AC39" s="61" t="inlineStr">
        <is>
          <t>ร้านกาแฟ, ร้านขายขนมปัง</t>
        </is>
      </c>
      <c r="AD39" s="61" t="inlineStr">
        <is>
          <t>Google Maps (รายวัน)</t>
        </is>
      </c>
      <c r="AE39" s="61" t="inlineStr">
        <is>
          <t>ทุกวัน 07:30-18:30</t>
        </is>
      </c>
      <c r="AF39" s="61" t="inlineStr">
        <is>
          <t>ประมาณการจากประเภทร้าน/ทำเล (ยังไม่ยืนยัน)</t>
        </is>
      </c>
      <c r="AG39" s="63" t="n"/>
      <c r="AH39" s="61" t="inlineStr">
        <is>
          <t>65 ถ.เฟื่องนคร วัดราชบพิธ พระนคร</t>
        </is>
      </c>
      <c r="AI39" s="61" t="inlineStr">
        <is>
          <t>+66 63 674 6561</t>
        </is>
      </c>
      <c r="AJ39" s="61" t="inlineStr">
        <is>
          <t>ChIJHdQm8CKZ4jARSeplrVUwAtg</t>
        </is>
      </c>
      <c r="AK39" s="64" t="inlineStr">
        <is>
          <t>เปิดแผนที่ ↗</t>
        </is>
      </c>
    </row>
    <row r="40" ht="20" customHeight="1">
      <c r="A40" s="50" t="inlineStr">
        <is>
          <t>bangkok-restaurant-baan-tha-tien</t>
        </is>
      </c>
      <c r="B40" s="51" t="inlineStr">
        <is>
          <t>restaurant</t>
        </is>
      </c>
      <c r="C40" s="52" t="inlineStr">
        <is>
          <t>Baan ThaTien</t>
        </is>
      </c>
      <c r="D40" s="53" t="inlineStr">
        <is>
          <t>เกาะรัตนโกสินทร์</t>
        </is>
      </c>
      <c r="E40" s="54" t="n">
        <v>13.7446855</v>
      </c>
      <c r="F40" s="55" t="n">
        <v>100.4922468</v>
      </c>
      <c r="G40" s="56" t="inlineStr">
        <is>
          <t>localFood,cafe</t>
        </is>
      </c>
      <c r="H40" s="51" t="n">
        <v>2</v>
      </c>
      <c r="I40" s="57" t="n">
        <v>4.5</v>
      </c>
      <c r="J40" s="58" t="inlineStr">
        <is>
          <t>08:00-19:00</t>
        </is>
      </c>
      <c r="K40" s="51" t="inlineStr">
        <is>
          <t>08:00-19:00</t>
        </is>
      </c>
      <c r="L40" s="51" t="inlineStr">
        <is>
          <t>08:00-19:00</t>
        </is>
      </c>
      <c r="M40" s="51" t="inlineStr">
        <is>
          <t>08:00-19:00</t>
        </is>
      </c>
      <c r="N40" s="51" t="inlineStr">
        <is>
          <t>08:00-19:00</t>
        </is>
      </c>
      <c r="O40" s="51" t="inlineStr">
        <is>
          <t>08:00-19:00</t>
        </is>
      </c>
      <c r="P40" s="51" t="inlineStr">
        <is>
          <t>08:00-19:00</t>
        </is>
      </c>
      <c r="Q40" s="58" t="n">
        <v>60</v>
      </c>
      <c r="R40" s="59" t="n">
        <v>0</v>
      </c>
      <c r="S40" s="53" t="inlineStr">
        <is>
          <t>ร้านอาหารไทยและคาเฟ่ย่านท่าเตียน ใกล้วัดโพธิ์</t>
        </is>
      </c>
      <c r="T40" s="51" t="n"/>
      <c r="U40" s="58" t="inlineStr">
        <is>
          <t>Y</t>
        </is>
      </c>
      <c r="V40" s="53" t="n"/>
      <c r="W40" s="53" t="n"/>
      <c r="X40" s="60" t="inlineStr">
        <is>
          <t>ร้านอาหาร</t>
        </is>
      </c>
      <c r="Y40" s="61" t="inlineStr">
        <is>
          <t>วัดพระเชตุพนวิมลมังคลาราม (วัดโพธิ์)</t>
        </is>
      </c>
      <c r="Z40" s="62" t="n">
        <v>0.2</v>
      </c>
      <c r="AA40" s="61" t="inlineStr">
        <is>
          <t>บ้านท่าเตียน</t>
        </is>
      </c>
      <c r="AB40" s="63" t="n">
        <v>1198</v>
      </c>
      <c r="AC40" s="61" t="inlineStr">
        <is>
          <t>ภัตตาคารอาหารไทย, ร้านกาแฟ</t>
        </is>
      </c>
      <c r="AD40" s="61" t="inlineStr">
        <is>
          <t>Google Maps (รายวัน)</t>
        </is>
      </c>
      <c r="AE40" s="61" t="inlineStr">
        <is>
          <t>ทุกวัน 08:00-19:00</t>
        </is>
      </c>
      <c r="AF40" s="61" t="inlineStr">
        <is>
          <t>ประมาณการจากประเภทร้าน/ทำเล (ยังไม่ยืนยัน)</t>
        </is>
      </c>
      <c r="AG40" s="63" t="n"/>
      <c r="AH40" s="61" t="inlineStr">
        <is>
          <t>392/2 ถ.มหาราช พระบรมมหาราชวัง พระนคร</t>
        </is>
      </c>
      <c r="AI40" s="61" t="inlineStr">
        <is>
          <t>+66 95 151 5545</t>
        </is>
      </c>
      <c r="AJ40" s="61" t="inlineStr">
        <is>
          <t>ChIJAYJsTQSZ4jARi7QrBrmpxY4</t>
        </is>
      </c>
      <c r="AK40" s="64" t="inlineStr">
        <is>
          <t>เปิดแผนที่ ↗</t>
        </is>
      </c>
    </row>
    <row r="41" ht="20" customHeight="1">
      <c r="A41" s="50" t="inlineStr">
        <is>
          <t>bangkok-restaurant-home-cafe-tha-tien</t>
        </is>
      </c>
      <c r="B41" s="51" t="inlineStr">
        <is>
          <t>restaurant</t>
        </is>
      </c>
      <c r="C41" s="52" t="inlineStr">
        <is>
          <t>Home Cafe Tha Tien</t>
        </is>
      </c>
      <c r="D41" s="53" t="inlineStr">
        <is>
          <t>เกาะรัตนโกสินทร์</t>
        </is>
      </c>
      <c r="E41" s="54" t="n">
        <v>13.745695</v>
      </c>
      <c r="F41" s="55" t="n">
        <v>100.491253</v>
      </c>
      <c r="G41" s="56" t="inlineStr">
        <is>
          <t>localFood</t>
        </is>
      </c>
      <c r="H41" s="51" t="n">
        <v>2</v>
      </c>
      <c r="I41" s="57" t="n">
        <v>4.6</v>
      </c>
      <c r="J41" s="58" t="inlineStr">
        <is>
          <t>10:30-19:00</t>
        </is>
      </c>
      <c r="K41" s="51" t="inlineStr">
        <is>
          <t>10:30-19:00</t>
        </is>
      </c>
      <c r="L41" s="51" t="inlineStr">
        <is>
          <t>10:30-19:00</t>
        </is>
      </c>
      <c r="M41" s="51" t="inlineStr">
        <is>
          <t>10:30-19:00</t>
        </is>
      </c>
      <c r="N41" s="51" t="inlineStr">
        <is>
          <t>10:30-19:00</t>
        </is>
      </c>
      <c r="O41" s="51" t="inlineStr">
        <is>
          <t>10:30-19:00</t>
        </is>
      </c>
      <c r="P41" s="51" t="n"/>
      <c r="Q41" s="58" t="n">
        <v>60</v>
      </c>
      <c r="R41" s="59" t="n">
        <v>0</v>
      </c>
      <c r="S41" s="53" t="inlineStr">
        <is>
          <t>ร้านอาหารไทยในซอยท่าเตียน เดินจากวัดโพธิ์ได้</t>
        </is>
      </c>
      <c r="T41" s="51" t="n"/>
      <c r="U41" s="58" t="inlineStr">
        <is>
          <t>Y</t>
        </is>
      </c>
      <c r="V41" s="53" t="n"/>
      <c r="W41" s="53" t="n"/>
      <c r="X41" s="60" t="inlineStr">
        <is>
          <t>ร้านอาหาร</t>
        </is>
      </c>
      <c r="Y41" s="61" t="inlineStr">
        <is>
          <t>วัดพระเชตุพนวิมลมังคลาราม (วัดโพธิ์)</t>
        </is>
      </c>
      <c r="Z41" s="62" t="n">
        <v>0.18</v>
      </c>
      <c r="AA41" s="61" t="inlineStr">
        <is>
          <t>โฮม คาเฟ่ ท่าเตียน</t>
        </is>
      </c>
      <c r="AB41" s="63" t="n">
        <v>1285</v>
      </c>
      <c r="AC41" s="61" t="inlineStr">
        <is>
          <t>ภัตตาคารอาหารไทย</t>
        </is>
      </c>
      <c r="AD41" s="61" t="inlineStr">
        <is>
          <t>Google Maps (รายวัน)</t>
        </is>
      </c>
      <c r="AE41" s="61" t="inlineStr">
        <is>
          <t>จ-ส 10:30-19:00 (ปิดวันอาทิตย์)</t>
        </is>
      </c>
      <c r="AF41" s="61" t="inlineStr">
        <is>
          <t>ประมาณการจากประเภทร้าน/ทำเล (ยังไม่ยืนยัน)</t>
        </is>
      </c>
      <c r="AG41" s="63" t="n"/>
      <c r="AH41" s="61" t="inlineStr">
        <is>
          <t>10-14 ซ.ท่าเตียน พระบรมมหาราชวัง พระนคร</t>
        </is>
      </c>
      <c r="AI41" s="61" t="inlineStr">
        <is>
          <t>+66 2 622 1936</t>
        </is>
      </c>
      <c r="AJ41" s="61" t="inlineStr">
        <is>
          <t>ChIJ6aLoxQWZ4jARd7FjOaPiQ08</t>
        </is>
      </c>
      <c r="AK41" s="64" t="inlineStr">
        <is>
          <t>เปิดแผนที่ ↗</t>
        </is>
      </c>
    </row>
    <row r="42" ht="20" customHeight="1">
      <c r="A42" s="50" t="inlineStr">
        <is>
          <t>bangkok-restaurant-rongros</t>
        </is>
      </c>
      <c r="B42" s="51" t="inlineStr">
        <is>
          <t>restaurant</t>
        </is>
      </c>
      <c r="C42" s="52" t="inlineStr">
        <is>
          <t>RONGROS</t>
        </is>
      </c>
      <c r="D42" s="53" t="inlineStr">
        <is>
          <t>เกาะรัตนโกสินทร์</t>
        </is>
      </c>
      <c r="E42" s="54" t="n">
        <v>13.7442546</v>
      </c>
      <c r="F42" s="55" t="n">
        <v>100.4917087</v>
      </c>
      <c r="G42" s="56" t="inlineStr">
        <is>
          <t>localFood,viewpoint</t>
        </is>
      </c>
      <c r="H42" s="51" t="n">
        <v>3</v>
      </c>
      <c r="I42" s="57" t="n">
        <v>4.7</v>
      </c>
      <c r="J42" s="58" t="inlineStr">
        <is>
          <t>11:00-22:00</t>
        </is>
      </c>
      <c r="K42" s="51" t="inlineStr">
        <is>
          <t>11:00-22:00</t>
        </is>
      </c>
      <c r="L42" s="51" t="inlineStr">
        <is>
          <t>11:00-22:00</t>
        </is>
      </c>
      <c r="M42" s="51" t="inlineStr">
        <is>
          <t>11:00-22:00</t>
        </is>
      </c>
      <c r="N42" s="51" t="inlineStr">
        <is>
          <t>11:00-22:00</t>
        </is>
      </c>
      <c r="O42" s="51" t="inlineStr">
        <is>
          <t>11:00-22:00</t>
        </is>
      </c>
      <c r="P42" s="51" t="inlineStr">
        <is>
          <t>11:00-22:00</t>
        </is>
      </c>
      <c r="Q42" s="58" t="n">
        <v>75</v>
      </c>
      <c r="R42" s="59" t="n">
        <v>0</v>
      </c>
      <c r="S42" s="53" t="inlineStr">
        <is>
          <t>ร้านอาหารไทยริมแม่น้ำเจ้าพระยา มองเห็นวัดอรุณ ย่านท่าเตียน</t>
        </is>
      </c>
      <c r="T42" s="51" t="n"/>
      <c r="U42" s="58" t="inlineStr">
        <is>
          <t>Y</t>
        </is>
      </c>
      <c r="V42" s="53" t="n"/>
      <c r="W42" s="53" t="inlineStr">
        <is>
          <t>เปิด 2 ช่วง (sun 11:00–15:00 / 17:00–22:00; mon 11:00–15:00 / 17:00–22:00; tue 11:00–15:00 / 17:00–22:00; wed 11:00–15:00 / 17:00–22:00; thu 11:00–15:00 / 17:00–22:00; fri 11:00–15:00 / 17:00–22:00; sat 11:00–15:00 / 17:00–22:00) ระบบรองรับช่วงเดียว จึงใส่ช่วงรวม</t>
        </is>
      </c>
      <c r="X42" s="60" t="inlineStr">
        <is>
          <t>ร้านอาหาร</t>
        </is>
      </c>
      <c r="Y42" s="61" t="inlineStr">
        <is>
          <t>วัดพระเชตุพนวิมลมังคลาราม (วัดโพธิ์)</t>
        </is>
      </c>
      <c r="Z42" s="62" t="n">
        <v>0.27</v>
      </c>
      <c r="AA42" s="61" t="inlineStr">
        <is>
          <t>โรงรส</t>
        </is>
      </c>
      <c r="AB42" s="63" t="n">
        <v>4923</v>
      </c>
      <c r="AC42" s="61" t="inlineStr">
        <is>
          <t>ภัตตาคารอาหารไทย</t>
        </is>
      </c>
      <c r="AD42" s="61" t="inlineStr">
        <is>
          <t>Google Maps (รายวัน)</t>
        </is>
      </c>
      <c r="AE42" s="61" t="inlineStr">
        <is>
          <t>ทุกวัน 11:00-15:00, 17:00-22:00</t>
        </is>
      </c>
      <c r="AF42" s="61" t="inlineStr">
        <is>
          <t>ประมาณการจากประเภทร้าน/ทำเล (ยังไม่ยืนยัน)</t>
        </is>
      </c>
      <c r="AG42" s="63" t="n"/>
      <c r="AH42" s="61" t="inlineStr">
        <is>
          <t>392/16 ถ.มหาราช พระบรมมหาราชวัง พระนคร</t>
        </is>
      </c>
      <c r="AI42" s="61" t="inlineStr">
        <is>
          <t>+66 96 946 1785</t>
        </is>
      </c>
      <c r="AJ42" s="61" t="inlineStr">
        <is>
          <t>ChIJjYPUa8GZ4jARi9fgigQOiR8</t>
        </is>
      </c>
      <c r="AK42" s="64" t="inlineStr">
        <is>
          <t>เปิดแผนที่ ↗</t>
        </is>
      </c>
    </row>
    <row r="43" ht="20" customHeight="1">
      <c r="A43" s="50" t="inlineStr">
        <is>
          <t>bangkok-restaurant-orin-coffee-roaster</t>
        </is>
      </c>
      <c r="B43" s="51" t="inlineStr">
        <is>
          <t>restaurant</t>
        </is>
      </c>
      <c r="C43" s="52" t="inlineStr">
        <is>
          <t>Orin Coffee roaster &amp; Specialty tea</t>
        </is>
      </c>
      <c r="D43" s="53" t="inlineStr">
        <is>
          <t>เกาะรัตนโกสินทร์</t>
        </is>
      </c>
      <c r="E43" s="54" t="n">
        <v>13.7456065</v>
      </c>
      <c r="F43" s="55" t="n">
        <v>100.4911484</v>
      </c>
      <c r="G43" s="56" t="inlineStr">
        <is>
          <t>cafe</t>
        </is>
      </c>
      <c r="H43" s="51" t="n">
        <v>2</v>
      </c>
      <c r="I43" s="57" t="n">
        <v>5</v>
      </c>
      <c r="J43" s="58" t="inlineStr">
        <is>
          <t>08:00-18:00</t>
        </is>
      </c>
      <c r="K43" s="51" t="inlineStr">
        <is>
          <t>08:00-18:00</t>
        </is>
      </c>
      <c r="L43" s="51" t="n"/>
      <c r="M43" s="51" t="inlineStr">
        <is>
          <t>08:00-18:00</t>
        </is>
      </c>
      <c r="N43" s="51" t="inlineStr">
        <is>
          <t>08:00-18:00</t>
        </is>
      </c>
      <c r="O43" s="51" t="inlineStr">
        <is>
          <t>08:00-18:00</t>
        </is>
      </c>
      <c r="P43" s="51" t="inlineStr">
        <is>
          <t>08:00-18:00</t>
        </is>
      </c>
      <c r="Q43" s="58" t="n">
        <v>30</v>
      </c>
      <c r="R43" s="59" t="n">
        <v>0</v>
      </c>
      <c r="S43" s="53" t="inlineStr">
        <is>
          <t>ร้านกาแฟสเปเชียลตี้และชา คั่วเอง ในซอยท่าเตียน</t>
        </is>
      </c>
      <c r="T43" s="51" t="n"/>
      <c r="U43" s="58" t="inlineStr">
        <is>
          <t>N</t>
        </is>
      </c>
      <c r="V43" s="53" t="n"/>
      <c r="W43" s="53" t="n"/>
      <c r="X43" s="60" t="inlineStr">
        <is>
          <t>ร้านเครื่องดื่ม</t>
        </is>
      </c>
      <c r="Y43" s="61" t="inlineStr">
        <is>
          <t>วัดพระเชตุพนวิมลมังคลาราม (วัดโพธิ์)</t>
        </is>
      </c>
      <c r="Z43" s="62" t="n">
        <v>0.2</v>
      </c>
      <c r="AA43" s="61" t="inlineStr">
        <is>
          <t>Orin Coffee roaster &amp; Specialty tea</t>
        </is>
      </c>
      <c r="AB43" s="63" t="n">
        <v>169</v>
      </c>
      <c r="AC43" s="61" t="inlineStr">
        <is>
          <t>ร้านกาแฟ, ผู้ผลิตและจำหน่ายเครื่องชงกาแฟและอุปกรณ์, โรงคั่วกาแฟ, ผู้ค้าส่งกาแฟ, บาร์กาแฟเอสเพรสโซ</t>
        </is>
      </c>
      <c r="AD43" s="61" t="inlineStr">
        <is>
          <t>Google Maps (รายวัน)</t>
        </is>
      </c>
      <c r="AE43" s="61" t="inlineStr">
        <is>
          <t>ทุกวัน 08:00-18:00 (ปิดวันพุธ)</t>
        </is>
      </c>
      <c r="AF43" s="61" t="inlineStr">
        <is>
          <t>ประมาณการจากประเภทร้าน/ทำเล (ยังไม่ยืนยัน)</t>
        </is>
      </c>
      <c r="AG43" s="63" t="n"/>
      <c r="AH43" s="61" t="inlineStr">
        <is>
          <t>20 ซ.ท่าเตียน พระบรมมหาราชวัง พระนคร</t>
        </is>
      </c>
      <c r="AI43" s="61" t="inlineStr">
        <is>
          <t>+66 88 666 2027</t>
        </is>
      </c>
      <c r="AJ43" s="61" t="inlineStr">
        <is>
          <t>ChIJ3cc_YhmZ4jARPfL1wgx3Ywk</t>
        </is>
      </c>
      <c r="AK43" s="64" t="inlineStr">
        <is>
          <t>เปิดแผนที่ ↗</t>
        </is>
      </c>
    </row>
    <row r="44" ht="20" customHeight="1">
      <c r="A44" s="50" t="inlineStr">
        <is>
          <t>bangkok-restaurant-slowbar-tha-tien</t>
        </is>
      </c>
      <c r="B44" s="51" t="inlineStr">
        <is>
          <t>restaurant</t>
        </is>
      </c>
      <c r="C44" s="52" t="inlineStr">
        <is>
          <t>SLOWBAR : Slow coffee &amp; Juice bar</t>
        </is>
      </c>
      <c r="D44" s="53" t="inlineStr">
        <is>
          <t>เกาะรัตนโกสินทร์</t>
        </is>
      </c>
      <c r="E44" s="54" t="n">
        <v>13.7453407</v>
      </c>
      <c r="F44" s="55" t="n">
        <v>100.4916366</v>
      </c>
      <c r="G44" s="56" t="inlineStr">
        <is>
          <t>cafe</t>
        </is>
      </c>
      <c r="H44" s="51" t="n">
        <v>1</v>
      </c>
      <c r="I44" s="57" t="n">
        <v>4.9</v>
      </c>
      <c r="J44" s="58" t="inlineStr">
        <is>
          <t>10:00-19:00</t>
        </is>
      </c>
      <c r="K44" s="51" t="n"/>
      <c r="L44" s="51" t="inlineStr">
        <is>
          <t>10:00-19:00</t>
        </is>
      </c>
      <c r="M44" s="51" t="inlineStr">
        <is>
          <t>10:00-19:00</t>
        </is>
      </c>
      <c r="N44" s="51" t="inlineStr">
        <is>
          <t>10:00-19:00</t>
        </is>
      </c>
      <c r="O44" s="51" t="inlineStr">
        <is>
          <t>10:00-19:00</t>
        </is>
      </c>
      <c r="P44" s="51" t="inlineStr">
        <is>
          <t>10:00-19:00</t>
        </is>
      </c>
      <c r="Q44" s="58" t="n">
        <v>30</v>
      </c>
      <c r="R44" s="59" t="n">
        <v>0</v>
      </c>
      <c r="S44" s="53" t="inlineStr">
        <is>
          <t>ร้านกาแฟดริปและน้ำผลไม้ ใกล้วัดโพธิ์</t>
        </is>
      </c>
      <c r="T44" s="51" t="n"/>
      <c r="U44" s="58" t="inlineStr">
        <is>
          <t>N</t>
        </is>
      </c>
      <c r="V44" s="53" t="n"/>
      <c r="W44" s="53" t="n"/>
      <c r="X44" s="60" t="inlineStr">
        <is>
          <t>ร้านเครื่องดื่ม</t>
        </is>
      </c>
      <c r="Y44" s="61" t="inlineStr">
        <is>
          <t>วัดพระเชตุพนวิมลมังคลาราม (วัดโพธิ์)</t>
        </is>
      </c>
      <c r="Z44" s="62" t="n">
        <v>0.17</v>
      </c>
      <c r="AA44" s="61" t="inlineStr">
        <is>
          <t>ชา โลว บาร์</t>
        </is>
      </c>
      <c r="AB44" s="63" t="n">
        <v>616</v>
      </c>
      <c r="AC44" s="61" t="inlineStr">
        <is>
          <t>ร้านขายน้ำ, ร้านกาแฟ, คาเฟ่ผลไม้</t>
        </is>
      </c>
      <c r="AD44" s="61" t="inlineStr">
        <is>
          <t>Google Maps (รายวัน)</t>
        </is>
      </c>
      <c r="AE44" s="61" t="inlineStr">
        <is>
          <t>ทุกวัน 10:00-19:00 (ปิดวันอังคาร)</t>
        </is>
      </c>
      <c r="AF44" s="61" t="inlineStr">
        <is>
          <t>ประมาณการจากประเภทร้าน/ทำเล (ยังไม่ยืนยัน)</t>
        </is>
      </c>
      <c r="AG44" s="63" t="n"/>
      <c r="AH44" s="61" t="inlineStr">
        <is>
          <t>85/2 พระบรมมหาราชวัง พระนคร</t>
        </is>
      </c>
      <c r="AI44" s="61" t="inlineStr">
        <is>
          <t>+66 94 952 6463</t>
        </is>
      </c>
      <c r="AJ44" s="61" t="inlineStr">
        <is>
          <t>ChIJI7VVefWZ4jARWW57XZMlPO4</t>
        </is>
      </c>
      <c r="AK44" s="64" t="inlineStr">
        <is>
          <t>เปิดแผนที่ ↗</t>
        </is>
      </c>
    </row>
    <row r="45" ht="20" customHeight="1">
      <c r="A45" s="50" t="inlineStr">
        <is>
          <t>bangkok-restaurant-tang-de-tien-cafe</t>
        </is>
      </c>
      <c r="B45" s="51" t="inlineStr">
        <is>
          <t>restaurant</t>
        </is>
      </c>
      <c r="C45" s="52" t="inlineStr">
        <is>
          <t>ตั้งเตียนน์ - Tang De Tien Cafe' &amp; Curated twist</t>
        </is>
      </c>
      <c r="D45" s="53" t="inlineStr">
        <is>
          <t>เกาะรัตนโกสินทร์</t>
        </is>
      </c>
      <c r="E45" s="54" t="n">
        <v>13.7460254</v>
      </c>
      <c r="F45" s="55" t="n">
        <v>100.4912036</v>
      </c>
      <c r="G45" s="56" t="inlineStr">
        <is>
          <t>localFood,cafe</t>
        </is>
      </c>
      <c r="H45" s="51" t="n">
        <v>2</v>
      </c>
      <c r="I45" s="57" t="n">
        <v>5</v>
      </c>
      <c r="J45" s="58" t="inlineStr">
        <is>
          <t>09:30-20:30</t>
        </is>
      </c>
      <c r="K45" s="51" t="inlineStr">
        <is>
          <t>09:30-20:30</t>
        </is>
      </c>
      <c r="L45" s="51" t="inlineStr">
        <is>
          <t>09:30-20:30</t>
        </is>
      </c>
      <c r="M45" s="51" t="inlineStr">
        <is>
          <t>09:30-20:30</t>
        </is>
      </c>
      <c r="N45" s="51" t="inlineStr">
        <is>
          <t>09:30-20:30</t>
        </is>
      </c>
      <c r="O45" s="51" t="inlineStr">
        <is>
          <t>09:30-20:30</t>
        </is>
      </c>
      <c r="P45" s="51" t="inlineStr">
        <is>
          <t>09:30-20:30</t>
        </is>
      </c>
      <c r="Q45" s="58" t="n">
        <v>60</v>
      </c>
      <c r="R45" s="59" t="n">
        <v>0</v>
      </c>
      <c r="S45" s="53" t="inlineStr">
        <is>
          <t>คาเฟ่และร้านอาหารไทยบนถนนมหาราช ย่านท่าเตียน</t>
        </is>
      </c>
      <c r="T45" s="51" t="n"/>
      <c r="U45" s="58" t="inlineStr">
        <is>
          <t>Y</t>
        </is>
      </c>
      <c r="V45" s="53" t="n"/>
      <c r="W45" s="53" t="n"/>
      <c r="X45" s="60" t="inlineStr">
        <is>
          <t>ร้านเครื่องดื่ม</t>
        </is>
      </c>
      <c r="Y45" s="61" t="inlineStr">
        <is>
          <t>วัดพระเชตุพนวิมลมังคลาราม (วัดโพธิ์)</t>
        </is>
      </c>
      <c r="Z45" s="62" t="n">
        <v>0.17</v>
      </c>
      <c r="AA45" s="61" t="inlineStr">
        <is>
          <t>ตั้งเตียนน์ - Tang De Tiên Cafe’ &amp; Curated twist</t>
        </is>
      </c>
      <c r="AB45" s="63" t="n">
        <v>95</v>
      </c>
      <c r="AC45" s="61" t="inlineStr">
        <is>
          <t>ภัตตาคารอาหารไทย</t>
        </is>
      </c>
      <c r="AD45" s="61" t="inlineStr">
        <is>
          <t>Google Maps (รายวัน)</t>
        </is>
      </c>
      <c r="AE45" s="61" t="inlineStr">
        <is>
          <t>ทุกวัน 09:30-20:30</t>
        </is>
      </c>
      <c r="AF45" s="61" t="inlineStr">
        <is>
          <t>ประมาณการจากประเภทร้าน/ทำเล (ยังไม่ยืนยัน)</t>
        </is>
      </c>
      <c r="AG45" s="63" t="n"/>
      <c r="AH45" s="61" t="inlineStr">
        <is>
          <t>312-314 ถ.มหาราช พระบรมมหาราชวัง พระนคร</t>
        </is>
      </c>
      <c r="AI45" s="61" t="inlineStr">
        <is>
          <t>+66 61 415 1555</t>
        </is>
      </c>
      <c r="AJ45" s="61" t="inlineStr">
        <is>
          <t>ChIJpRm_RwCZ4jARHuxdKSbqYX0</t>
        </is>
      </c>
      <c r="AK45" s="64" t="inlineStr">
        <is>
          <t>เปิดแผนที่ ↗</t>
        </is>
      </c>
    </row>
    <row r="46" ht="20" customHeight="1">
      <c r="A46" s="50" t="inlineStr">
        <is>
          <t>bangkok-restaurant-heychom-thai-dessert-bar</t>
        </is>
      </c>
      <c r="B46" s="51" t="inlineStr">
        <is>
          <t>restaurant</t>
        </is>
      </c>
      <c r="C46" s="52" t="inlineStr">
        <is>
          <t>Heychom Thai Dessert Bar</t>
        </is>
      </c>
      <c r="D46" s="53" t="inlineStr">
        <is>
          <t>เกาะรัตนโกสินทร์</t>
        </is>
      </c>
      <c r="E46" s="54" t="n">
        <v>13.7459201</v>
      </c>
      <c r="F46" s="55" t="n">
        <v>100.4912687</v>
      </c>
      <c r="G46" s="56" t="inlineStr">
        <is>
          <t>localFood,cafe</t>
        </is>
      </c>
      <c r="H46" s="51" t="n">
        <v>2</v>
      </c>
      <c r="I46" s="57" t="n">
        <v>4.8</v>
      </c>
      <c r="J46" s="58" t="inlineStr">
        <is>
          <t>11:00-18:00</t>
        </is>
      </c>
      <c r="K46" s="51" t="inlineStr">
        <is>
          <t>11:00-18:00</t>
        </is>
      </c>
      <c r="L46" s="51" t="inlineStr">
        <is>
          <t>11:00-18:00</t>
        </is>
      </c>
      <c r="M46" s="51" t="inlineStr">
        <is>
          <t>11:00-18:00</t>
        </is>
      </c>
      <c r="N46" s="51" t="inlineStr">
        <is>
          <t>11:00-18:00</t>
        </is>
      </c>
      <c r="O46" s="51" t="inlineStr">
        <is>
          <t>11:00-18:00</t>
        </is>
      </c>
      <c r="P46" s="51" t="inlineStr">
        <is>
          <t>11:00-18:00</t>
        </is>
      </c>
      <c r="Q46" s="58" t="n">
        <v>30</v>
      </c>
      <c r="R46" s="59" t="n">
        <v>0</v>
      </c>
      <c r="S46" s="53" t="inlineStr">
        <is>
          <t>ร้านขนมไทยสไตล์ร่วมสมัยบนถนนมหาราช ใกล้วัดโพธิ์</t>
        </is>
      </c>
      <c r="T46" s="51" t="n"/>
      <c r="U46" s="58" t="inlineStr">
        <is>
          <t>N</t>
        </is>
      </c>
      <c r="V46" s="53" t="n"/>
      <c r="W46" s="53" t="n"/>
      <c r="X46" s="60" t="inlineStr">
        <is>
          <t>ร้านของหวาน</t>
        </is>
      </c>
      <c r="Y46" s="61" t="inlineStr">
        <is>
          <t>วัดพระเชตุพนวิมลมังคลาราม (วัดโพธิ์)</t>
        </is>
      </c>
      <c r="Z46" s="62" t="n">
        <v>0.17</v>
      </c>
      <c r="AA46" s="61" t="inlineStr">
        <is>
          <t>Heychom Thai Dessert Bar</t>
        </is>
      </c>
      <c r="AB46" s="63" t="n">
        <v>151</v>
      </c>
      <c r="AC46" s="61" t="inlineStr">
        <is>
          <t>ร้านขนมหวาน</t>
        </is>
      </c>
      <c r="AD46" s="61" t="inlineStr">
        <is>
          <t>Google Maps (รายวัน)</t>
        </is>
      </c>
      <c r="AE46" s="61" t="inlineStr">
        <is>
          <t>ทุกวัน 11:00-18:00</t>
        </is>
      </c>
      <c r="AF46" s="61" t="inlineStr">
        <is>
          <t>ประมาณการจากประเภทร้าน/ทำเล (ยังไม่ยืนยัน)</t>
        </is>
      </c>
      <c r="AG46" s="63" t="n"/>
      <c r="AH46" s="61" t="inlineStr">
        <is>
          <t>320 ถ.มหาราช พระบรมมหาราชวัง พระนคร</t>
        </is>
      </c>
      <c r="AI46" s="61" t="inlineStr">
        <is>
          <t>+66 99 239 9246</t>
        </is>
      </c>
      <c r="AJ46" s="61" t="inlineStr">
        <is>
          <t>ChIJf676IJeZ4jARHVCHVT4OJko</t>
        </is>
      </c>
      <c r="AK46" s="64" t="inlineStr">
        <is>
          <t>เปิดแผนที่ ↗</t>
        </is>
      </c>
    </row>
    <row r="47" ht="20" customHeight="1">
      <c r="A47" s="50" t="inlineStr">
        <is>
          <t>bangkok-restaurant-after-sunrise-chetuphon-gate</t>
        </is>
      </c>
      <c r="B47" s="51" t="inlineStr">
        <is>
          <t>restaurant</t>
        </is>
      </c>
      <c r="C47" s="52" t="inlineStr">
        <is>
          <t>After Sunrise</t>
        </is>
      </c>
      <c r="D47" s="53" t="inlineStr">
        <is>
          <t>เกาะรัตนโกสินทร์</t>
        </is>
      </c>
      <c r="E47" s="54" t="n">
        <v>13.7450075</v>
      </c>
      <c r="F47" s="55" t="n">
        <v>100.4919373</v>
      </c>
      <c r="G47" s="56" t="inlineStr">
        <is>
          <t>cafe</t>
        </is>
      </c>
      <c r="H47" s="51" t="n">
        <v>2</v>
      </c>
      <c r="I47" s="57" t="n">
        <v>4.8</v>
      </c>
      <c r="J47" s="58" t="inlineStr">
        <is>
          <t>12:00-20:00</t>
        </is>
      </c>
      <c r="K47" s="51" t="inlineStr">
        <is>
          <t>12:00-20:00</t>
        </is>
      </c>
      <c r="L47" s="51" t="inlineStr">
        <is>
          <t>12:00-20:00</t>
        </is>
      </c>
      <c r="M47" s="51" t="inlineStr">
        <is>
          <t>12:00-20:00</t>
        </is>
      </c>
      <c r="N47" s="51" t="inlineStr">
        <is>
          <t>12:00-20:00</t>
        </is>
      </c>
      <c r="O47" s="51" t="inlineStr">
        <is>
          <t>12:00-20:00</t>
        </is>
      </c>
      <c r="P47" s="51" t="inlineStr">
        <is>
          <t>12:00-20:00</t>
        </is>
      </c>
      <c r="Q47" s="58" t="n">
        <v>30</v>
      </c>
      <c r="R47" s="59" t="n">
        <v>0</v>
      </c>
      <c r="S47" s="53" t="inlineStr">
        <is>
          <t>ร้านเบเกอรี่ใน Chetuphon Gate ใกล้วัดโพธิ์</t>
        </is>
      </c>
      <c r="T47" s="51" t="n"/>
      <c r="U47" s="58" t="inlineStr">
        <is>
          <t>N</t>
        </is>
      </c>
      <c r="V47" s="53" t="n"/>
      <c r="W47" s="53" t="n"/>
      <c r="X47" s="60" t="inlineStr">
        <is>
          <t>ร้านของหวาน</t>
        </is>
      </c>
      <c r="Y47" s="61" t="inlineStr">
        <is>
          <t>วัดพระเชตุพนวิมลมังคลาราม (วัดโพธิ์)</t>
        </is>
      </c>
      <c r="Z47" s="62" t="n">
        <v>0.18</v>
      </c>
      <c r="AA47" s="61" t="inlineStr">
        <is>
          <t>After Sunrise</t>
        </is>
      </c>
      <c r="AB47" s="63" t="n">
        <v>256</v>
      </c>
      <c r="AC47" s="61" t="inlineStr">
        <is>
          <t>ร้านเบเกอรี่</t>
        </is>
      </c>
      <c r="AD47" s="61" t="inlineStr">
        <is>
          <t>Google Maps (รายวัน)</t>
        </is>
      </c>
      <c r="AE47" s="61" t="inlineStr">
        <is>
          <t>ทุกวัน 12:00-20:00</t>
        </is>
      </c>
      <c r="AF47" s="61" t="inlineStr">
        <is>
          <t>ประมาณการจากประเภทร้าน/ทำเล (ยังไม่ยืนยัน)</t>
        </is>
      </c>
      <c r="AG47" s="63" t="n"/>
      <c r="AH47" s="61" t="inlineStr">
        <is>
          <t>370 ชั้น 2 Chetuphon Gate ซ.ประตูนกยูง พระนคร</t>
        </is>
      </c>
      <c r="AI47" s="61" t="n"/>
      <c r="AJ47" s="61" t="inlineStr">
        <is>
          <t>ChIJ2ewOZh6Z4jARqNuLp2xFDW8</t>
        </is>
      </c>
      <c r="AK47" s="64" t="inlineStr">
        <is>
          <t>เปิดแผนที่ ↗</t>
        </is>
      </c>
    </row>
    <row r="48" ht="20" customHeight="1">
      <c r="A48" s="50" t="inlineStr">
        <is>
          <t>bangkok-restaurant-a-pink-rabbit-and-bob</t>
        </is>
      </c>
      <c r="B48" s="51" t="inlineStr">
        <is>
          <t>restaurant</t>
        </is>
      </c>
      <c r="C48" s="52" t="inlineStr">
        <is>
          <t>A Pink Rabbit + Bob</t>
        </is>
      </c>
      <c r="D48" s="53" t="inlineStr">
        <is>
          <t>เกาะรัตนโกสินทร์</t>
        </is>
      </c>
      <c r="E48" s="54" t="n">
        <v>13.7449359</v>
      </c>
      <c r="F48" s="55" t="n">
        <v>100.492024</v>
      </c>
      <c r="G48" s="56" t="inlineStr">
        <is>
          <t>cafe</t>
        </is>
      </c>
      <c r="H48" s="51" t="n">
        <v>2</v>
      </c>
      <c r="I48" s="57" t="n">
        <v>4.5</v>
      </c>
      <c r="J48" s="58" t="inlineStr">
        <is>
          <t>09:00-20:00</t>
        </is>
      </c>
      <c r="K48" s="51" t="inlineStr">
        <is>
          <t>09:00-20:00</t>
        </is>
      </c>
      <c r="L48" s="51" t="inlineStr">
        <is>
          <t>09:00-20:00</t>
        </is>
      </c>
      <c r="M48" s="51" t="inlineStr">
        <is>
          <t>09:00-20:00</t>
        </is>
      </c>
      <c r="N48" s="51" t="inlineStr">
        <is>
          <t>09:00-20:00</t>
        </is>
      </c>
      <c r="O48" s="51" t="inlineStr">
        <is>
          <t>09:00-20:00</t>
        </is>
      </c>
      <c r="P48" s="51" t="inlineStr">
        <is>
          <t>09:00-20:00</t>
        </is>
      </c>
      <c r="Q48" s="58" t="n">
        <v>30</v>
      </c>
      <c r="R48" s="59" t="n">
        <v>0</v>
      </c>
      <c r="S48" s="53" t="inlineStr">
        <is>
          <t>คาเฟ่เค้กและเบเกอรี่บนถนนมหาราช ใกล้วัดโพธิ์</t>
        </is>
      </c>
      <c r="T48" s="51" t="n"/>
      <c r="U48" s="58" t="inlineStr">
        <is>
          <t>N</t>
        </is>
      </c>
      <c r="V48" s="53" t="n"/>
      <c r="W48" s="53" t="n"/>
      <c r="X48" s="60" t="inlineStr">
        <is>
          <t>ร้านของหวาน</t>
        </is>
      </c>
      <c r="Y48" s="61" t="inlineStr">
        <is>
          <t>วัดพระเชตุพนวิมลมังคลาราม (วัดโพธิ์)</t>
        </is>
      </c>
      <c r="Z48" s="62" t="n">
        <v>0.18</v>
      </c>
      <c r="AA48" s="61" t="inlineStr">
        <is>
          <t>A Pink Rabbit + Bob</t>
        </is>
      </c>
      <c r="AB48" s="63" t="n">
        <v>973</v>
      </c>
      <c r="AC48" s="61" t="inlineStr">
        <is>
          <t>ร้านเค้ก, ร้านเบเกอรี่, ร้านกาแฟ</t>
        </is>
      </c>
      <c r="AD48" s="61" t="inlineStr">
        <is>
          <t>Google Maps (รายวัน)</t>
        </is>
      </c>
      <c r="AE48" s="61" t="inlineStr">
        <is>
          <t>ทุกวัน 09:00-20:00</t>
        </is>
      </c>
      <c r="AF48" s="61" t="inlineStr">
        <is>
          <t>ประมาณการจากประเภทร้าน/ทำเล (ยังไม่ยืนยัน)</t>
        </is>
      </c>
      <c r="AG48" s="63" t="n"/>
      <c r="AH48" s="61" t="inlineStr">
        <is>
          <t>378 ถ.มหาราช พระบรมมหาราชวัง พระนคร</t>
        </is>
      </c>
      <c r="AI48" s="61" t="inlineStr">
        <is>
          <t>+66 62 639 8880</t>
        </is>
      </c>
      <c r="AJ48" s="61" t="inlineStr">
        <is>
          <t>ChIJv9Qyc9uZ4jAR7LyLQfsLySI</t>
        </is>
      </c>
      <c r="AK48" s="64" t="inlineStr">
        <is>
          <t>เปิดแผนที่ ↗</t>
        </is>
      </c>
    </row>
    <row r="49" ht="20" customHeight="1">
      <c r="A49" s="50" t="inlineStr">
        <is>
          <t>bangkok-restaurant-chom-arun</t>
        </is>
      </c>
      <c r="B49" s="51" t="inlineStr">
        <is>
          <t>restaurant</t>
        </is>
      </c>
      <c r="C49" s="52" t="inlineStr">
        <is>
          <t>Chom Arun</t>
        </is>
      </c>
      <c r="D49" s="53" t="inlineStr">
        <is>
          <t>ริมแม่น้ำเจ้าพระยา</t>
        </is>
      </c>
      <c r="E49" s="54" t="n">
        <v>13.7440478</v>
      </c>
      <c r="F49" s="55" t="n">
        <v>100.4917704</v>
      </c>
      <c r="G49" s="56" t="inlineStr">
        <is>
          <t>localFood,viewpoint</t>
        </is>
      </c>
      <c r="H49" s="51" t="n">
        <v>3</v>
      </c>
      <c r="I49" s="57" t="n">
        <v>4.5</v>
      </c>
      <c r="J49" s="58" t="inlineStr">
        <is>
          <t>10:30-21:30</t>
        </is>
      </c>
      <c r="K49" s="51" t="inlineStr">
        <is>
          <t>10:30-21:30</t>
        </is>
      </c>
      <c r="L49" s="51" t="inlineStr">
        <is>
          <t>10:30-21:30</t>
        </is>
      </c>
      <c r="M49" s="51" t="inlineStr">
        <is>
          <t>10:30-21:30</t>
        </is>
      </c>
      <c r="N49" s="51" t="inlineStr">
        <is>
          <t>10:30-21:30</t>
        </is>
      </c>
      <c r="O49" s="51" t="inlineStr">
        <is>
          <t>10:30-21:30</t>
        </is>
      </c>
      <c r="P49" s="51" t="inlineStr">
        <is>
          <t>10:30-21:30</t>
        </is>
      </c>
      <c r="Q49" s="58" t="n">
        <v>75</v>
      </c>
      <c r="R49" s="59" t="n">
        <v>0</v>
      </c>
      <c r="S49" s="53" t="inlineStr">
        <is>
          <t>ร้านอาหารไทยริมน้ำ วิววัดอรุณ ย่านท่าเตียน</t>
        </is>
      </c>
      <c r="T49" s="51" t="n"/>
      <c r="U49" s="58" t="inlineStr">
        <is>
          <t>Y</t>
        </is>
      </c>
      <c r="V49" s="53" t="n"/>
      <c r="W49" s="53" t="n"/>
      <c r="X49" s="60" t="inlineStr">
        <is>
          <t>ร้านอาหาร</t>
        </is>
      </c>
      <c r="Y49" s="61" t="inlineStr">
        <is>
          <t>วัดอรุณราชวรารามราชวรมหาวิหาร</t>
        </is>
      </c>
      <c r="Z49" s="62" t="n">
        <v>0.36</v>
      </c>
      <c r="AA49" s="61" t="inlineStr">
        <is>
          <t>Chom Arun Restaurant</t>
        </is>
      </c>
      <c r="AB49" s="63" t="n">
        <v>1848</v>
      </c>
      <c r="AC49" s="61" t="inlineStr">
        <is>
          <t>ภัตตาคารอาหารไทย, ร้านกาแฟ, ร้านอาหาร</t>
        </is>
      </c>
      <c r="AD49" s="61" t="inlineStr">
        <is>
          <t>Google Maps (รายวัน)</t>
        </is>
      </c>
      <c r="AE49" s="61" t="inlineStr">
        <is>
          <t>ทุกวัน 10:30-21:30</t>
        </is>
      </c>
      <c r="AF49" s="61" t="inlineStr">
        <is>
          <t>ประมาณการจากประเภทร้าน/ทำเล (ยังไม่ยืนยัน)</t>
        </is>
      </c>
      <c r="AG49" s="63" t="n"/>
      <c r="AH49" s="61" t="inlineStr">
        <is>
          <t>392/53 ถ.มหาราช พระบรมมหาราชวัง พระนคร</t>
        </is>
      </c>
      <c r="AI49" s="61" t="inlineStr">
        <is>
          <t>+66 95 446 4199</t>
        </is>
      </c>
      <c r="AJ49" s="61" t="inlineStr">
        <is>
          <t>ChIJg86wsZ-Z4jARYyyrIYV1rpw</t>
        </is>
      </c>
      <c r="AK49" s="64" t="inlineStr">
        <is>
          <t>เปิดแผนที่ ↗</t>
        </is>
      </c>
    </row>
    <row r="50" ht="20" customHeight="1">
      <c r="A50" s="50" t="inlineStr">
        <is>
          <t>bangkok-restaurant-supanniga-eating-room-tha-tien</t>
        </is>
      </c>
      <c r="B50" s="51" t="inlineStr">
        <is>
          <t>restaurant</t>
        </is>
      </c>
      <c r="C50" s="52" t="inlineStr">
        <is>
          <t>Supanniga Eating Room Tha Tien</t>
        </is>
      </c>
      <c r="D50" s="53" t="inlineStr">
        <is>
          <t>ริมแม่น้ำเจ้าพระยา</t>
        </is>
      </c>
      <c r="E50" s="54" t="n">
        <v>13.7441351</v>
      </c>
      <c r="F50" s="55" t="n">
        <v>100.4917348</v>
      </c>
      <c r="G50" s="56" t="inlineStr">
        <is>
          <t>localFood,viewpoint,nightlife</t>
        </is>
      </c>
      <c r="H50" s="51" t="n">
        <v>3</v>
      </c>
      <c r="I50" s="57" t="n">
        <v>4.5</v>
      </c>
      <c r="J50" s="58" t="inlineStr">
        <is>
          <t>11:00-22:00</t>
        </is>
      </c>
      <c r="K50" s="51" t="inlineStr">
        <is>
          <t>11:00-22:00</t>
        </is>
      </c>
      <c r="L50" s="51" t="inlineStr">
        <is>
          <t>11:00-22:00</t>
        </is>
      </c>
      <c r="M50" s="51" t="inlineStr">
        <is>
          <t>11:00-22:00</t>
        </is>
      </c>
      <c r="N50" s="51" t="inlineStr">
        <is>
          <t>11:00-22:00</t>
        </is>
      </c>
      <c r="O50" s="51" t="inlineStr">
        <is>
          <t>10:00-22:00</t>
        </is>
      </c>
      <c r="P50" s="51" t="inlineStr">
        <is>
          <t>10:00-22:00</t>
        </is>
      </c>
      <c r="Q50" s="58" t="n">
        <v>75</v>
      </c>
      <c r="R50" s="59" t="n">
        <v>0</v>
      </c>
      <c r="S50" s="53" t="inlineStr">
        <is>
          <t>ร้านอาหารไทยสูตรบ้าน มีชั้นดาดฟ้าวิววัดอรุณ ย่านท่าเตียน</t>
        </is>
      </c>
      <c r="T50" s="51" t="n"/>
      <c r="U50" s="58" t="inlineStr">
        <is>
          <t>Y</t>
        </is>
      </c>
      <c r="V50" s="53" t="n"/>
      <c r="W50" s="53" t="n"/>
      <c r="X50" s="60" t="inlineStr">
        <is>
          <t>ร้านอาหาร</t>
        </is>
      </c>
      <c r="Y50" s="61" t="inlineStr">
        <is>
          <t>วัดอรุณราชวรารามราชวรมหาวิหาร</t>
        </is>
      </c>
      <c r="Z50" s="62" t="n">
        <v>0.36</v>
      </c>
      <c r="AA50" s="61" t="inlineStr">
        <is>
          <t>ห้องทานข้าวสุพรรณิการ์ ท่าเตียน</t>
        </is>
      </c>
      <c r="AB50" s="63" t="n">
        <v>2936</v>
      </c>
      <c r="AC50" s="61" t="inlineStr">
        <is>
          <t>ภัตตาคารอาหารไทย, ภัตตาคารอาหารเช้าและกลางวัน, บาร์ค็อกเทล, ร้านอาหาร, บาร์ไวน์</t>
        </is>
      </c>
      <c r="AD50" s="61" t="inlineStr">
        <is>
          <t>Google Maps (รายวัน)</t>
        </is>
      </c>
      <c r="AE50" s="61" t="inlineStr">
        <is>
          <t>จ-ศ 11:00-22:00 / ส-อา 10:00-22:00</t>
        </is>
      </c>
      <c r="AF50" s="61" t="inlineStr">
        <is>
          <t>ประมาณการจากประเภทร้าน/ทำเล (ยังไม่ยืนยัน)</t>
        </is>
      </c>
      <c r="AG50" s="63" t="n"/>
      <c r="AH50" s="61" t="inlineStr">
        <is>
          <t>392/25-26 ซ.เพ็ญพัฒน์ 2 พระบรมมหาราชวัง พระนคร</t>
        </is>
      </c>
      <c r="AI50" s="61" t="inlineStr">
        <is>
          <t>+66 92 253 9251</t>
        </is>
      </c>
      <c r="AJ50" s="61" t="inlineStr">
        <is>
          <t>ChIJjZS9RwSZ4jARNZMgiT03fJ4</t>
        </is>
      </c>
      <c r="AK50" s="64" t="inlineStr">
        <is>
          <t>เปิดแผนที่ ↗</t>
        </is>
      </c>
    </row>
    <row r="51" ht="20" customHeight="1">
      <c r="A51" s="50" t="inlineStr">
        <is>
          <t>bangkok-restaurant-eat-sight-story-deck</t>
        </is>
      </c>
      <c r="B51" s="51" t="inlineStr">
        <is>
          <t>restaurant</t>
        </is>
      </c>
      <c r="C51" s="52" t="inlineStr">
        <is>
          <t>Eat Sight Story Deck</t>
        </is>
      </c>
      <c r="D51" s="53" t="inlineStr">
        <is>
          <t>ริมแม่น้ำเจ้าพระยา</t>
        </is>
      </c>
      <c r="E51" s="54" t="n">
        <v>13.7452674</v>
      </c>
      <c r="F51" s="55" t="n">
        <v>100.4909523</v>
      </c>
      <c r="G51" s="56" t="inlineStr">
        <is>
          <t>localFood,viewpoint</t>
        </is>
      </c>
      <c r="H51" s="51" t="n">
        <v>3</v>
      </c>
      <c r="I51" s="57" t="n">
        <v>4.4</v>
      </c>
      <c r="J51" s="58" t="inlineStr">
        <is>
          <t>11:00-22:00</t>
        </is>
      </c>
      <c r="K51" s="51" t="inlineStr">
        <is>
          <t>11:00-22:00</t>
        </is>
      </c>
      <c r="L51" s="51" t="inlineStr">
        <is>
          <t>11:00-22:00</t>
        </is>
      </c>
      <c r="M51" s="51" t="inlineStr">
        <is>
          <t>11:00-22:00</t>
        </is>
      </c>
      <c r="N51" s="51" t="inlineStr">
        <is>
          <t>11:00-22:00</t>
        </is>
      </c>
      <c r="O51" s="51" t="inlineStr">
        <is>
          <t>11:00-22:00</t>
        </is>
      </c>
      <c r="P51" s="51" t="inlineStr">
        <is>
          <t>11:00-22:00</t>
        </is>
      </c>
      <c r="Q51" s="58" t="n">
        <v>75</v>
      </c>
      <c r="R51" s="59" t="n">
        <v>0</v>
      </c>
      <c r="S51" s="53" t="inlineStr">
        <is>
          <t>ร้านอาหารไทย-ฟิวชั่นริมแม่น้ำ วิววัดอรุณ ในซอยท่าเตียน</t>
        </is>
      </c>
      <c r="T51" s="51" t="n"/>
      <c r="U51" s="58" t="inlineStr">
        <is>
          <t>Y</t>
        </is>
      </c>
      <c r="V51" s="53" t="n"/>
      <c r="W51" s="53" t="n"/>
      <c r="X51" s="60" t="inlineStr">
        <is>
          <t>ร้านอาหาร</t>
        </is>
      </c>
      <c r="Y51" s="61" t="inlineStr">
        <is>
          <t>วัดอรุณราชวรารามราชวรมหาวิหาร</t>
        </is>
      </c>
      <c r="Z51" s="62" t="n">
        <v>0.31</v>
      </c>
      <c r="AA51" s="61" t="inlineStr">
        <is>
          <t>EAT SIGHT STORY (BITTER DECK)​</t>
        </is>
      </c>
      <c r="AB51" s="63" t="n">
        <v>1838</v>
      </c>
      <c r="AC51" s="61" t="inlineStr">
        <is>
          <t>ร้านอาหารฟิวชั่นเอเชีย, ร้านอาหาร, ภัตตาคารอาหารไทย</t>
        </is>
      </c>
      <c r="AD51" s="61" t="inlineStr">
        <is>
          <t>Google Maps (รายวัน)</t>
        </is>
      </c>
      <c r="AE51" s="61" t="inlineStr">
        <is>
          <t>ทุกวัน 11:00-22:00</t>
        </is>
      </c>
      <c r="AF51" s="61" t="inlineStr">
        <is>
          <t>ประมาณการจากประเภทร้าน/ทำเล (ยังไม่ยืนยัน)</t>
        </is>
      </c>
      <c r="AG51" s="63" t="n"/>
      <c r="AH51" s="61" t="inlineStr">
        <is>
          <t>47-79 ซ.ท่าเตียน พระบรมมหาราชวัง พระนคร</t>
        </is>
      </c>
      <c r="AI51" s="61" t="inlineStr">
        <is>
          <t>+66 83 988 8735</t>
        </is>
      </c>
      <c r="AJ51" s="61" t="inlineStr">
        <is>
          <t>ChIJ961s0QWZ4jARvvtf8tT2ZzQ</t>
        </is>
      </c>
      <c r="AK51" s="64" t="inlineStr">
        <is>
          <t>เปิดแผนที่ ↗</t>
        </is>
      </c>
    </row>
    <row r="52" ht="20" customHeight="1">
      <c r="A52" s="50" t="inlineStr">
        <is>
          <t>bangkok-restaurant-vivi-the-coffee-place</t>
        </is>
      </c>
      <c r="B52" s="51" t="inlineStr">
        <is>
          <t>restaurant</t>
        </is>
      </c>
      <c r="C52" s="52" t="inlineStr">
        <is>
          <t>ViVi The Coffee Place</t>
        </is>
      </c>
      <c r="D52" s="53" t="inlineStr">
        <is>
          <t>ริมแม่น้ำเจ้าพระยา</t>
        </is>
      </c>
      <c r="E52" s="54" t="n">
        <v>13.7436911</v>
      </c>
      <c r="F52" s="55" t="n">
        <v>100.4921072</v>
      </c>
      <c r="G52" s="56" t="inlineStr">
        <is>
          <t>cafe,viewpoint</t>
        </is>
      </c>
      <c r="H52" s="51" t="n">
        <v>2</v>
      </c>
      <c r="I52" s="57" t="n">
        <v>4.2</v>
      </c>
      <c r="J52" s="58" t="inlineStr">
        <is>
          <t>10:00-20:00</t>
        </is>
      </c>
      <c r="K52" s="51" t="inlineStr">
        <is>
          <t>10:00-20:00</t>
        </is>
      </c>
      <c r="L52" s="51" t="inlineStr">
        <is>
          <t>10:00-20:00</t>
        </is>
      </c>
      <c r="M52" s="51" t="inlineStr">
        <is>
          <t>10:00-20:00</t>
        </is>
      </c>
      <c r="N52" s="51" t="inlineStr">
        <is>
          <t>10:00-20:00</t>
        </is>
      </c>
      <c r="O52" s="51" t="inlineStr">
        <is>
          <t>10:00-20:00</t>
        </is>
      </c>
      <c r="P52" s="51" t="inlineStr">
        <is>
          <t>10:00-20:00</t>
        </is>
      </c>
      <c r="Q52" s="58" t="n">
        <v>45</v>
      </c>
      <c r="R52" s="59" t="n">
        <v>0</v>
      </c>
      <c r="S52" s="53" t="inlineStr">
        <is>
          <t>คาเฟ่ริมแม่น้ำเจ้าพระยา มองเห็นวัดอรุณ</t>
        </is>
      </c>
      <c r="T52" s="51" t="n"/>
      <c r="U52" s="58" t="inlineStr">
        <is>
          <t>N</t>
        </is>
      </c>
      <c r="V52" s="53" t="n"/>
      <c r="W52" s="53" t="n"/>
      <c r="X52" s="60" t="inlineStr">
        <is>
          <t>ร้านเครื่องดื่ม</t>
        </is>
      </c>
      <c r="Y52" s="61" t="inlineStr">
        <is>
          <t>วัดอรุณราชวรารามราชวรมหาวิหาร</t>
        </is>
      </c>
      <c r="Z52" s="62" t="n">
        <v>0.4</v>
      </c>
      <c r="AA52" s="61" t="inlineStr">
        <is>
          <t>วีวี่ เดอะ คอฟฟี่ เพลส</t>
        </is>
      </c>
      <c r="AB52" s="63" t="n">
        <v>1761</v>
      </c>
      <c r="AC52" s="61" t="inlineStr">
        <is>
          <t>ร้านกาแฟ</t>
        </is>
      </c>
      <c r="AD52" s="61" t="inlineStr">
        <is>
          <t>Google Maps (รายวัน)</t>
        </is>
      </c>
      <c r="AE52" s="61" t="inlineStr">
        <is>
          <t>ทุกวัน 10:00-20:00</t>
        </is>
      </c>
      <c r="AF52" s="61" t="inlineStr">
        <is>
          <t>ประมาณการจากประเภทร้าน/ทำเล (ยังไม่ยืนยัน)</t>
        </is>
      </c>
      <c r="AG52" s="63" t="n"/>
      <c r="AH52" s="61" t="inlineStr">
        <is>
          <t>394/29 ซ.ปานสุข พระบรมมหาราชวัง พระนคร</t>
        </is>
      </c>
      <c r="AI52" s="61" t="inlineStr">
        <is>
          <t>+66 2 226 4672</t>
        </is>
      </c>
      <c r="AJ52" s="61" t="inlineStr">
        <is>
          <t>ChIJrTG8QwSZ4jAR7y9dYWUsw_o</t>
        </is>
      </c>
      <c r="AK52" s="64" t="inlineStr">
        <is>
          <t>เปิดแผนที่ ↗</t>
        </is>
      </c>
    </row>
    <row r="53" ht="20" customHeight="1">
      <c r="A53" s="50" t="inlineStr">
        <is>
          <t>bangkok-restaurant-arun-cafe</t>
        </is>
      </c>
      <c r="B53" s="51" t="inlineStr">
        <is>
          <t>restaurant</t>
        </is>
      </c>
      <c r="C53" s="52" t="inlineStr">
        <is>
          <t>Arun-Cafe</t>
        </is>
      </c>
      <c r="D53" s="53" t="inlineStr">
        <is>
          <t>ริมแม่น้ำเจ้าพระยา</t>
        </is>
      </c>
      <c r="E53" s="54" t="n">
        <v>13.742653</v>
      </c>
      <c r="F53" s="55" t="n">
        <v>100.4874873</v>
      </c>
      <c r="G53" s="56" t="inlineStr">
        <is>
          <t>cafe</t>
        </is>
      </c>
      <c r="H53" s="51" t="n">
        <v>2</v>
      </c>
      <c r="I53" s="57" t="n">
        <v>4.6</v>
      </c>
      <c r="J53" s="58" t="inlineStr">
        <is>
          <t>09:00-18:00</t>
        </is>
      </c>
      <c r="K53" s="51" t="inlineStr">
        <is>
          <t>09:00-18:00</t>
        </is>
      </c>
      <c r="L53" s="51" t="inlineStr">
        <is>
          <t>09:00-18:00</t>
        </is>
      </c>
      <c r="M53" s="51" t="inlineStr">
        <is>
          <t>09:00-18:00</t>
        </is>
      </c>
      <c r="N53" s="51" t="inlineStr">
        <is>
          <t>09:00-18:00</t>
        </is>
      </c>
      <c r="O53" s="51" t="inlineStr">
        <is>
          <t>09:00-18:00</t>
        </is>
      </c>
      <c r="P53" s="51" t="inlineStr">
        <is>
          <t>09:00-18:00</t>
        </is>
      </c>
      <c r="Q53" s="58" t="n">
        <v>30</v>
      </c>
      <c r="R53" s="59" t="n">
        <v>0</v>
      </c>
      <c r="S53" s="53" t="inlineStr">
        <is>
          <t>ร้านกาแฟบนถนนอรุณอมรินทร์ ฝั่งวัดอรุณ</t>
        </is>
      </c>
      <c r="T53" s="51" t="n"/>
      <c r="U53" s="58" t="inlineStr">
        <is>
          <t>N</t>
        </is>
      </c>
      <c r="V53" s="53" t="n"/>
      <c r="W53" s="53" t="n"/>
      <c r="X53" s="60" t="inlineStr">
        <is>
          <t>ร้านเครื่องดื่ม</t>
        </is>
      </c>
      <c r="Y53" s="61" t="inlineStr">
        <is>
          <t>วัดอรุณราชวรารามราชวรมหาวิหาร</t>
        </is>
      </c>
      <c r="Z53" s="62" t="n">
        <v>0.17</v>
      </c>
      <c r="AA53" s="61" t="inlineStr">
        <is>
          <t>Arun-Cafe</t>
        </is>
      </c>
      <c r="AB53" s="63" t="n">
        <v>187</v>
      </c>
      <c r="AC53" s="61" t="inlineStr">
        <is>
          <t>ร้านกาแฟ</t>
        </is>
      </c>
      <c r="AD53" s="61" t="inlineStr">
        <is>
          <t>Google Maps (รายวัน)</t>
        </is>
      </c>
      <c r="AE53" s="61" t="inlineStr">
        <is>
          <t>ทุกวัน 09:00-18:00</t>
        </is>
      </c>
      <c r="AF53" s="61" t="inlineStr">
        <is>
          <t>ประมาณการจากประเภทร้าน/ทำเล (ยังไม่ยืนยัน)</t>
        </is>
      </c>
      <c r="AG53" s="63" t="n"/>
      <c r="AH53" s="61" t="inlineStr">
        <is>
          <t>169/3 ถ.อรุณอมรินทร์ วัดอรุณ บางกอกใหญ่</t>
        </is>
      </c>
      <c r="AI53" s="61" t="n"/>
      <c r="AJ53" s="61" t="inlineStr">
        <is>
          <t>ChIJhbOGK6qZ4jARpbTx6P5md9s</t>
        </is>
      </c>
      <c r="AK53" s="64" t="inlineStr">
        <is>
          <t>เปิดแผนที่ ↗</t>
        </is>
      </c>
    </row>
    <row r="54" ht="20" customHeight="1">
      <c r="A54" s="50" t="inlineStr">
        <is>
          <t>bangkok-restaurant-gunsbake-cafe</t>
        </is>
      </c>
      <c r="B54" s="51" t="inlineStr">
        <is>
          <t>restaurant</t>
        </is>
      </c>
      <c r="C54" s="52" t="inlineStr">
        <is>
          <t>gunsbake.cafe</t>
        </is>
      </c>
      <c r="D54" s="53" t="inlineStr">
        <is>
          <t>ริมแม่น้ำเจ้าพระยา</t>
        </is>
      </c>
      <c r="E54" s="54" t="n">
        <v>13.7416825</v>
      </c>
      <c r="F54" s="55" t="n">
        <v>100.4863189</v>
      </c>
      <c r="G54" s="56" t="inlineStr">
        <is>
          <t>cafe</t>
        </is>
      </c>
      <c r="H54" s="51" t="n">
        <v>2</v>
      </c>
      <c r="I54" s="57" t="n">
        <v>4.9</v>
      </c>
      <c r="J54" s="58" t="inlineStr">
        <is>
          <t>10:00-18:00</t>
        </is>
      </c>
      <c r="K54" s="51" t="n"/>
      <c r="L54" s="51" t="inlineStr">
        <is>
          <t>10:00-16:00</t>
        </is>
      </c>
      <c r="M54" s="51" t="inlineStr">
        <is>
          <t>10:00-18:00</t>
        </is>
      </c>
      <c r="N54" s="51" t="inlineStr">
        <is>
          <t>10:00-16:00</t>
        </is>
      </c>
      <c r="O54" s="51" t="inlineStr">
        <is>
          <t>10:00-18:00</t>
        </is>
      </c>
      <c r="P54" s="51" t="inlineStr">
        <is>
          <t>10:00-17:00</t>
        </is>
      </c>
      <c r="Q54" s="58" t="n">
        <v>30</v>
      </c>
      <c r="R54" s="59" t="n">
        <v>0</v>
      </c>
      <c r="S54" s="53" t="inlineStr">
        <is>
          <t>คาเฟ่และขนมอบบนถนนวังเดิม ใกล้วัดอรุณ</t>
        </is>
      </c>
      <c r="T54" s="51" t="n"/>
      <c r="U54" s="58" t="inlineStr">
        <is>
          <t>N</t>
        </is>
      </c>
      <c r="V54" s="53" t="n"/>
      <c r="W54" s="53" t="n"/>
      <c r="X54" s="60" t="inlineStr">
        <is>
          <t>ร้านเครื่องดื่ม</t>
        </is>
      </c>
      <c r="Y54" s="61" t="inlineStr">
        <is>
          <t>วัดอรุณราชวรารามราชวรมหาวิหาร</t>
        </is>
      </c>
      <c r="Z54" s="62" t="n">
        <v>0.33</v>
      </c>
      <c r="AA54" s="61" t="inlineStr">
        <is>
          <t>gunsbake.cafe</t>
        </is>
      </c>
      <c r="AB54" s="63" t="n">
        <v>242</v>
      </c>
      <c r="AC54" s="61" t="inlineStr">
        <is>
          <t>ร้านกาแฟ</t>
        </is>
      </c>
      <c r="AD54" s="61" t="inlineStr">
        <is>
          <t>Google Maps (รายวัน)</t>
        </is>
      </c>
      <c r="AE54" s="61" t="inlineStr">
        <is>
          <t>จ 10:00-18:00 / พ 10:00-16:00 / พฤ 10:00-18:00 / ศ 10:00-16:00 / ส 10:00-18:00 / อา 10:00-17:00 (ปิดวันอังคาร)</t>
        </is>
      </c>
      <c r="AF54" s="61" t="inlineStr">
        <is>
          <t>ประมาณการจากประเภทร้าน/ทำเล (ยังไม่ยืนยัน)</t>
        </is>
      </c>
      <c r="AG54" s="63" t="n"/>
      <c r="AH54" s="61" t="inlineStr">
        <is>
          <t>39/7 ถ.วังเดิม วัดอรุณ บางกอกใหญ่</t>
        </is>
      </c>
      <c r="AI54" s="61" t="inlineStr">
        <is>
          <t>+66 86 824 5353</t>
        </is>
      </c>
      <c r="AJ54" s="61" t="inlineStr">
        <is>
          <t>ChIJwznn8QSZ4jARth7RYPTDmAc</t>
        </is>
      </c>
      <c r="AK54" s="64" t="inlineStr">
        <is>
          <t>เปิดแผนที่ ↗</t>
        </is>
      </c>
    </row>
    <row r="55" ht="20" customHeight="1">
      <c r="A55" s="50" t="inlineStr">
        <is>
          <t>bangkok-restaurant-before-sunset-tha-tien</t>
        </is>
      </c>
      <c r="B55" s="51" t="inlineStr">
        <is>
          <t>restaurant</t>
        </is>
      </c>
      <c r="C55" s="52" t="inlineStr">
        <is>
          <t>Before Sunset</t>
        </is>
      </c>
      <c r="D55" s="53" t="inlineStr">
        <is>
          <t>ริมแม่น้ำเจ้าพระยา</t>
        </is>
      </c>
      <c r="E55" s="54" t="n">
        <v>13.7447843</v>
      </c>
      <c r="F55" s="55" t="n">
        <v>100.4912865</v>
      </c>
      <c r="G55" s="56" t="inlineStr">
        <is>
          <t>cafe</t>
        </is>
      </c>
      <c r="H55" s="51" t="n">
        <v>2</v>
      </c>
      <c r="I55" s="57" t="n">
        <v>4.2</v>
      </c>
      <c r="J55" s="58" t="inlineStr">
        <is>
          <t>13:00-20:00</t>
        </is>
      </c>
      <c r="K55" s="51" t="inlineStr">
        <is>
          <t>13:00-20:00</t>
        </is>
      </c>
      <c r="L55" s="51" t="inlineStr">
        <is>
          <t>13:00-20:00</t>
        </is>
      </c>
      <c r="M55" s="51" t="inlineStr">
        <is>
          <t>13:00-20:00</t>
        </is>
      </c>
      <c r="N55" s="51" t="inlineStr">
        <is>
          <t>13:00-20:00</t>
        </is>
      </c>
      <c r="O55" s="51" t="inlineStr">
        <is>
          <t>13:00-20:00</t>
        </is>
      </c>
      <c r="P55" s="51" t="inlineStr">
        <is>
          <t>13:00-20:00</t>
        </is>
      </c>
      <c r="Q55" s="58" t="n">
        <v>30</v>
      </c>
      <c r="R55" s="59" t="n">
        <v>0</v>
      </c>
      <c r="S55" s="53" t="inlineStr">
        <is>
          <t>คาเฟ่ไอศกรีมและเครื่องดื่ม ซอยประตูนกยูง ย่านท่าเตียน</t>
        </is>
      </c>
      <c r="T55" s="51" t="n"/>
      <c r="U55" s="58" t="inlineStr">
        <is>
          <t>N</t>
        </is>
      </c>
      <c r="V55" s="53" t="n"/>
      <c r="W55" s="53" t="n"/>
      <c r="X55" s="60" t="inlineStr">
        <is>
          <t>ร้านของหวาน</t>
        </is>
      </c>
      <c r="Y55" s="61" t="inlineStr">
        <is>
          <t>วัดอรุณราชวรารามราชวรมหาวิหาร</t>
        </is>
      </c>
      <c r="Z55" s="62" t="n">
        <v>0.32</v>
      </c>
      <c r="AA55" s="61" t="inlineStr">
        <is>
          <t>Before Sunset</t>
        </is>
      </c>
      <c r="AB55" s="63" t="n">
        <v>424</v>
      </c>
      <c r="AC55" s="61" t="inlineStr">
        <is>
          <t>ร้านไอศกรีม, ร้านกาแฟ, ร้านขายน้ำอัดลม, บาร์ไวน์</t>
        </is>
      </c>
      <c r="AD55" s="61" t="inlineStr">
        <is>
          <t>Google Maps (รายวัน)</t>
        </is>
      </c>
      <c r="AE55" s="61" t="inlineStr">
        <is>
          <t>ทุกวัน 13:00-20:00</t>
        </is>
      </c>
      <c r="AF55" s="61" t="inlineStr">
        <is>
          <t>ประมาณการจากประเภทร้าน/ทำเล (ยังไม่ยืนยัน)</t>
        </is>
      </c>
      <c r="AG55" s="63" t="n"/>
      <c r="AH55" s="61" t="inlineStr">
        <is>
          <t>40/1 ซ.ประตูนกยูง พระบรมมหาราชวัง พระนคร</t>
        </is>
      </c>
      <c r="AI55" s="61" t="n"/>
      <c r="AJ55" s="61" t="inlineStr">
        <is>
          <t>ChIJ28Sybv2Z4jARwGxmuwOJbso</t>
        </is>
      </c>
      <c r="AK55" s="64" t="inlineStr">
        <is>
          <t>เปิดแผนที่ ↗</t>
        </is>
      </c>
    </row>
    <row r="56" ht="20" customHeight="1">
      <c r="A56" s="50" t="inlineStr">
        <is>
          <t>bangkok-restaurant-priscilla-ice-cream</t>
        </is>
      </c>
      <c r="B56" s="51" t="inlineStr">
        <is>
          <t>restaurant</t>
        </is>
      </c>
      <c r="C56" s="52" t="inlineStr">
        <is>
          <t>Priscilla Ice Cream</t>
        </is>
      </c>
      <c r="D56" s="53" t="inlineStr">
        <is>
          <t>ริมแม่น้ำเจ้าพระยา</t>
        </is>
      </c>
      <c r="E56" s="54" t="n">
        <v>13.7465477</v>
      </c>
      <c r="F56" s="55" t="n">
        <v>100.4846122</v>
      </c>
      <c r="G56" s="56" t="inlineStr">
        <is>
          <t>cafe</t>
        </is>
      </c>
      <c r="H56" s="51" t="n">
        <v>2</v>
      </c>
      <c r="I56" s="57" t="n">
        <v>4.8</v>
      </c>
      <c r="J56" s="58" t="inlineStr">
        <is>
          <t>08:00-18:00</t>
        </is>
      </c>
      <c r="K56" s="51" t="inlineStr">
        <is>
          <t>08:00-18:00</t>
        </is>
      </c>
      <c r="L56" s="51" t="inlineStr">
        <is>
          <t>08:00-18:00</t>
        </is>
      </c>
      <c r="M56" s="51" t="inlineStr">
        <is>
          <t>08:00-18:00</t>
        </is>
      </c>
      <c r="N56" s="51" t="inlineStr">
        <is>
          <t>08:00-20:00</t>
        </is>
      </c>
      <c r="O56" s="51" t="inlineStr">
        <is>
          <t>08:00-20:00</t>
        </is>
      </c>
      <c r="P56" s="51" t="inlineStr">
        <is>
          <t>08:00-19:00</t>
        </is>
      </c>
      <c r="Q56" s="58" t="n">
        <v>30</v>
      </c>
      <c r="R56" s="59" t="n">
        <v>0</v>
      </c>
      <c r="S56" s="53" t="inlineStr">
        <is>
          <t>ร้านไอศกรีมในซอยริมคลองมอญ ฝั่งวัดอรุณ</t>
        </is>
      </c>
      <c r="T56" s="51" t="n"/>
      <c r="U56" s="58" t="inlineStr">
        <is>
          <t>N</t>
        </is>
      </c>
      <c r="V56" s="53" t="n"/>
      <c r="W56" s="53" t="n"/>
      <c r="X56" s="60" t="inlineStr">
        <is>
          <t>ร้านของหวาน</t>
        </is>
      </c>
      <c r="Y56" s="61" t="inlineStr">
        <is>
          <t>วัดอรุณราชวรารามราชวรมหาวิหาร</t>
        </is>
      </c>
      <c r="Z56" s="62" t="n">
        <v>0.51</v>
      </c>
      <c r="AA56" s="61" t="inlineStr">
        <is>
          <t>Priscilla Ice Cream</t>
        </is>
      </c>
      <c r="AB56" s="63" t="n">
        <v>384</v>
      </c>
      <c r="AC56" s="61" t="inlineStr">
        <is>
          <t>ร้านไอศกรีม</t>
        </is>
      </c>
      <c r="AD56" s="61" t="inlineStr">
        <is>
          <t>Google Maps (รายวัน)</t>
        </is>
      </c>
      <c r="AE56" s="61" t="inlineStr">
        <is>
          <t>จ-พฤ 08:00-18:00 / ศ-ส 08:00-20:00 / อา 08:00-19:00</t>
        </is>
      </c>
      <c r="AF56" s="61" t="inlineStr">
        <is>
          <t>ประมาณการจากประเภทร้าน/ทำเล (ยังไม่ยืนยัน)</t>
        </is>
      </c>
      <c r="AG56" s="63" t="n"/>
      <c r="AH56" s="61" t="inlineStr">
        <is>
          <t>59 ซ.ริมคลองมอญ วัดอรุณ บางกอกใหญ่</t>
        </is>
      </c>
      <c r="AI56" s="61" t="inlineStr">
        <is>
          <t>+66 83 008 7451</t>
        </is>
      </c>
      <c r="AJ56" s="61" t="inlineStr">
        <is>
          <t>ChIJ321kK3GZ4jAR2rRWuWXBPMw</t>
        </is>
      </c>
      <c r="AK56" s="64" t="inlineStr">
        <is>
          <t>เปิดแผนที่ ↗</t>
        </is>
      </c>
    </row>
    <row r="57" ht="20" customHeight="1">
      <c r="A57" s="50" t="inlineStr">
        <is>
          <t>bangkok-restaurant-ice-therapy-gelato</t>
        </is>
      </c>
      <c r="B57" s="51" t="inlineStr">
        <is>
          <t>restaurant</t>
        </is>
      </c>
      <c r="C57" s="52" t="inlineStr">
        <is>
          <t>Ice Therapy (ไอศกรีมเจลาโต้)</t>
        </is>
      </c>
      <c r="D57" s="53" t="inlineStr">
        <is>
          <t>ริมแม่น้ำเจ้าพระยา</t>
        </is>
      </c>
      <c r="E57" s="54" t="n">
        <v>13.7415235</v>
      </c>
      <c r="F57" s="55" t="n">
        <v>100.4860448</v>
      </c>
      <c r="G57" s="56" t="inlineStr">
        <is>
          <t>cafe</t>
        </is>
      </c>
      <c r="H57" s="51" t="n">
        <v>2</v>
      </c>
      <c r="I57" s="57" t="n">
        <v>4.9</v>
      </c>
      <c r="J57" s="58" t="inlineStr">
        <is>
          <t>12:00-20:00</t>
        </is>
      </c>
      <c r="K57" s="51" t="inlineStr">
        <is>
          <t>12:00-20:00</t>
        </is>
      </c>
      <c r="L57" s="51" t="n"/>
      <c r="M57" s="51" t="inlineStr">
        <is>
          <t>12:00-20:00</t>
        </is>
      </c>
      <c r="N57" s="51" t="inlineStr">
        <is>
          <t>12:00-20:00</t>
        </is>
      </c>
      <c r="O57" s="51" t="inlineStr">
        <is>
          <t>12:00-20:00</t>
        </is>
      </c>
      <c r="P57" s="51" t="inlineStr">
        <is>
          <t>12:00-20:00</t>
        </is>
      </c>
      <c r="Q57" s="58" t="n">
        <v>30</v>
      </c>
      <c r="R57" s="59" t="n">
        <v>0</v>
      </c>
      <c r="S57" s="53" t="inlineStr">
        <is>
          <t>ร้านเจลาโต้บนถนนวังเดิม ใกล้วัดอรุณ</t>
        </is>
      </c>
      <c r="T57" s="51" t="n"/>
      <c r="U57" s="58" t="inlineStr">
        <is>
          <t>N</t>
        </is>
      </c>
      <c r="V57" s="53" t="n"/>
      <c r="W57" s="53" t="n"/>
      <c r="X57" s="60" t="inlineStr">
        <is>
          <t>ร้านของหวาน</t>
        </is>
      </c>
      <c r="Y57" s="61" t="inlineStr">
        <is>
          <t>วัดอรุณราชวรารามราชวรมหาวิหาร</t>
        </is>
      </c>
      <c r="Z57" s="62" t="n">
        <v>0.37</v>
      </c>
      <c r="AA57" s="61" t="inlineStr">
        <is>
          <t>Ice Therapy</t>
        </is>
      </c>
      <c r="AB57" s="63" t="n">
        <v>133</v>
      </c>
      <c r="AC57" s="61" t="inlineStr">
        <is>
          <t>ร้านไอศกรีม</t>
        </is>
      </c>
      <c r="AD57" s="61" t="inlineStr">
        <is>
          <t>Google Maps (รายวัน)</t>
        </is>
      </c>
      <c r="AE57" s="61" t="inlineStr">
        <is>
          <t>จ,อ,พฤ-อา 12:00-20:00 (ปิดวันพุธ)</t>
        </is>
      </c>
      <c r="AF57" s="61" t="inlineStr">
        <is>
          <t>ประมาณการจากประเภทร้าน/ทำเล (ยังไม่ยืนยัน)</t>
        </is>
      </c>
      <c r="AG57" s="63" t="n"/>
      <c r="AH57" s="61" t="inlineStr">
        <is>
          <t>105 ถ.วังเดิม วัดอรุณ บางกอกใหญ่</t>
        </is>
      </c>
      <c r="AI57" s="61" t="inlineStr">
        <is>
          <t>+66 95 775 9794</t>
        </is>
      </c>
      <c r="AJ57" s="61" t="inlineStr">
        <is>
          <t>ChIJJQLvOwCZ4jARUyBcQD86DEY</t>
        </is>
      </c>
      <c r="AK57" s="64" t="inlineStr">
        <is>
          <t>เปิดแผนที่ ↗</t>
        </is>
      </c>
    </row>
    <row r="58" ht="20" customHeight="1">
      <c r="A58" s="50" t="inlineStr">
        <is>
          <t>bangkok-restaurant-toomaroi-cafe</t>
        </is>
      </c>
      <c r="B58" s="51" t="inlineStr">
        <is>
          <t>restaurant</t>
        </is>
      </c>
      <c r="C58" s="52" t="inlineStr">
        <is>
          <t>ร้านตุ้มอร่อย คาเฟ่ Toomaroi Café</t>
        </is>
      </c>
      <c r="D58" s="53" t="inlineStr">
        <is>
          <t>ตลาดพลู-ภาษีเจริญ</t>
        </is>
      </c>
      <c r="E58" s="54" t="n">
        <v>13.7185333</v>
      </c>
      <c r="F58" s="55" t="n">
        <v>100.4677225</v>
      </c>
      <c r="G58" s="56" t="inlineStr">
        <is>
          <t>localFood,cafe</t>
        </is>
      </c>
      <c r="H58" s="51" t="n">
        <v>2</v>
      </c>
      <c r="I58" s="57" t="n">
        <v>5</v>
      </c>
      <c r="J58" s="58" t="inlineStr">
        <is>
          <t>09:30-17:30</t>
        </is>
      </c>
      <c r="K58" s="51" t="inlineStr">
        <is>
          <t>09:30-17:30</t>
        </is>
      </c>
      <c r="L58" s="51" t="n"/>
      <c r="M58" s="51" t="n"/>
      <c r="N58" s="51" t="inlineStr">
        <is>
          <t>09:30-17:30</t>
        </is>
      </c>
      <c r="O58" s="51" t="inlineStr">
        <is>
          <t>09:30-17:30</t>
        </is>
      </c>
      <c r="P58" s="51" t="inlineStr">
        <is>
          <t>09:30-17:30</t>
        </is>
      </c>
      <c r="Q58" s="58" t="n">
        <v>60</v>
      </c>
      <c r="R58" s="59" t="n">
        <v>0</v>
      </c>
      <c r="S58" s="53" t="inlineStr">
        <is>
          <t>ร้านอาหารไทยและคาเฟ่ ย่านภาษีเจริญ ใกล้วัดปากน้ำ</t>
        </is>
      </c>
      <c r="T58" s="51" t="n"/>
      <c r="U58" s="58" t="inlineStr">
        <is>
          <t>Y</t>
        </is>
      </c>
      <c r="V58" s="53" t="n"/>
      <c r="W58" s="53" t="n"/>
      <c r="X58" s="60" t="inlineStr">
        <is>
          <t>ร้านอาหาร</t>
        </is>
      </c>
      <c r="Y58" s="61" t="inlineStr">
        <is>
          <t>วัดปากน้ำภาษีเจริญ</t>
        </is>
      </c>
      <c r="Z58" s="62" t="n">
        <v>0.46</v>
      </c>
      <c r="AA58" s="61" t="inlineStr">
        <is>
          <t>ร้าน ตุ้มอร่อย คาเฟ่ Toomaroi Café</t>
        </is>
      </c>
      <c r="AB58" s="63" t="n">
        <v>597</v>
      </c>
      <c r="AC58" s="61" t="inlineStr">
        <is>
          <t>ภัตตาคารอาหารไทย</t>
        </is>
      </c>
      <c r="AD58" s="61" t="inlineStr">
        <is>
          <t>Google Maps (รายวัน)</t>
        </is>
      </c>
      <c r="AE58" s="61" t="inlineStr">
        <is>
          <t>จ,อ,ศ-อา 09:30-17:30 (ปิดพุธ-พฤหัสบดี)</t>
        </is>
      </c>
      <c r="AF58" s="61" t="inlineStr">
        <is>
          <t>ประมาณการจากประเภทร้าน/ทำเล (ยังไม่ยืนยัน)</t>
        </is>
      </c>
      <c r="AG58" s="63" t="n"/>
      <c r="AH58" s="61" t="inlineStr">
        <is>
          <t>119/18 ถ.เทอดไท ปากคลองภาษีเจริญ ภาษีเจริญ</t>
        </is>
      </c>
      <c r="AI58" s="61" t="inlineStr">
        <is>
          <t>+66 95 998 7928</t>
        </is>
      </c>
      <c r="AJ58" s="61" t="inlineStr">
        <is>
          <t>ChIJT3ZAob-Z4jARZKL_lsJzvVY</t>
        </is>
      </c>
      <c r="AK58" s="64" t="inlineStr">
        <is>
          <t>เปิดแผนที่ ↗</t>
        </is>
      </c>
    </row>
    <row r="59" ht="20" customHeight="1">
      <c r="A59" s="50" t="inlineStr">
        <is>
          <t>bangkok-restaurant-hidden-bangkok-bistro</t>
        </is>
      </c>
      <c r="B59" s="51" t="inlineStr">
        <is>
          <t>restaurant</t>
        </is>
      </c>
      <c r="C59" s="52" t="inlineStr">
        <is>
          <t>Hidden Bangkok Bistro</t>
        </is>
      </c>
      <c r="D59" s="53" t="inlineStr">
        <is>
          <t>ตลาดพลู-ภาษีเจริญ</t>
        </is>
      </c>
      <c r="E59" s="54" t="n">
        <v>13.7215514</v>
      </c>
      <c r="F59" s="55" t="n">
        <v>100.4719368</v>
      </c>
      <c r="G59" s="56" t="n"/>
      <c r="H59" s="51" t="n">
        <v>2</v>
      </c>
      <c r="I59" s="57" t="n">
        <v>4.5</v>
      </c>
      <c r="J59" s="58" t="inlineStr">
        <is>
          <t>09:00-22:00</t>
        </is>
      </c>
      <c r="K59" s="51" t="inlineStr">
        <is>
          <t>09:00-22:00</t>
        </is>
      </c>
      <c r="L59" s="51" t="inlineStr">
        <is>
          <t>09:00-22:00</t>
        </is>
      </c>
      <c r="M59" s="51" t="inlineStr">
        <is>
          <t>09:00-22:00</t>
        </is>
      </c>
      <c r="N59" s="51" t="inlineStr">
        <is>
          <t>09:00-22:00</t>
        </is>
      </c>
      <c r="O59" s="51" t="inlineStr">
        <is>
          <t>09:00-22:00</t>
        </is>
      </c>
      <c r="P59" s="51" t="inlineStr">
        <is>
          <t>09:00-22:00</t>
        </is>
      </c>
      <c r="Q59" s="58" t="n">
        <v>60</v>
      </c>
      <c r="R59" s="59" t="n">
        <v>0</v>
      </c>
      <c r="S59" s="53" t="inlineStr">
        <is>
          <t>ร้านอาหารสไตล์บิสโทร ซอยเทอดไท 26 ย่านตลาดพลู</t>
        </is>
      </c>
      <c r="T59" s="51" t="n"/>
      <c r="U59" s="58" t="inlineStr">
        <is>
          <t>Y</t>
        </is>
      </c>
      <c r="V59" s="53" t="inlineStr">
        <is>
          <t>ไม่มีแท็กที่ตรงประเภทอาหาร (อาหารต่างชาติ)</t>
        </is>
      </c>
      <c r="W59" s="53" t="n"/>
      <c r="X59" s="60" t="inlineStr">
        <is>
          <t>ร้านอาหาร</t>
        </is>
      </c>
      <c r="Y59" s="61" t="inlineStr">
        <is>
          <t>วัดปากน้ำภาษีเจริญ</t>
        </is>
      </c>
      <c r="Z59" s="62" t="n">
        <v>0.17</v>
      </c>
      <c r="AA59" s="61" t="inlineStr">
        <is>
          <t>Hidden Bangkok Bistro</t>
        </is>
      </c>
      <c r="AB59" s="63" t="n">
        <v>1031</v>
      </c>
      <c r="AC59" s="61" t="inlineStr">
        <is>
          <t>ร้านอาหาร</t>
        </is>
      </c>
      <c r="AD59" s="61" t="inlineStr">
        <is>
          <t>Google Maps (รายวัน)</t>
        </is>
      </c>
      <c r="AE59" s="61" t="inlineStr">
        <is>
          <t>ทุกวัน 09:00-22:00</t>
        </is>
      </c>
      <c r="AF59" s="61" t="inlineStr">
        <is>
          <t>ประมาณการจากประเภทร้าน/ทำเล (ยังไม่ยืนยัน)</t>
        </is>
      </c>
      <c r="AG59" s="63" t="n"/>
      <c r="AH59" s="61" t="inlineStr">
        <is>
          <t>872/8 ซ.เทอดไท 26 ตลาดพลู ธนบุรี</t>
        </is>
      </c>
      <c r="AI59" s="61" t="inlineStr">
        <is>
          <t>+66 90 897 9835</t>
        </is>
      </c>
      <c r="AJ59" s="61" t="inlineStr">
        <is>
          <t>ChIJZ6CYhMaZ4jARJ98e1bZkf5Y</t>
        </is>
      </c>
      <c r="AK59" s="64" t="inlineStr">
        <is>
          <t>เปิดแผนที่ ↗</t>
        </is>
      </c>
    </row>
    <row r="60" ht="20" customHeight="1">
      <c r="A60" s="50" t="inlineStr">
        <is>
          <t>bangkok-restaurant-chaleng-mee-krachet-talat-phlu</t>
        </is>
      </c>
      <c r="B60" s="51" t="inlineStr">
        <is>
          <t>restaurant</t>
        </is>
      </c>
      <c r="C60" s="52" t="inlineStr">
        <is>
          <t>ฉอเล้ง หมี่กระเฉด ตลาดพลู</t>
        </is>
      </c>
      <c r="D60" s="53" t="inlineStr">
        <is>
          <t>ตลาดพลู-ภาษีเจริญ</t>
        </is>
      </c>
      <c r="E60" s="54" t="n">
        <v>13.7201592</v>
      </c>
      <c r="F60" s="55" t="n">
        <v>100.4771483</v>
      </c>
      <c r="G60" s="56" t="inlineStr">
        <is>
          <t>localFood</t>
        </is>
      </c>
      <c r="H60" s="51" t="n">
        <v>1</v>
      </c>
      <c r="I60" s="57" t="n">
        <v>3.9</v>
      </c>
      <c r="J60" s="58" t="inlineStr">
        <is>
          <t>11:00-23:00</t>
        </is>
      </c>
      <c r="K60" s="51" t="inlineStr">
        <is>
          <t>11:00-23:00</t>
        </is>
      </c>
      <c r="L60" s="51" t="inlineStr">
        <is>
          <t>11:00-23:00</t>
        </is>
      </c>
      <c r="M60" s="51" t="inlineStr">
        <is>
          <t>11:00-23:00</t>
        </is>
      </c>
      <c r="N60" s="51" t="inlineStr">
        <is>
          <t>11:00-23:00</t>
        </is>
      </c>
      <c r="O60" s="51" t="inlineStr">
        <is>
          <t>11:00-23:00</t>
        </is>
      </c>
      <c r="P60" s="51" t="inlineStr">
        <is>
          <t>11:00-23:00</t>
        </is>
      </c>
      <c r="Q60" s="58" t="n">
        <v>45</v>
      </c>
      <c r="R60" s="59" t="n">
        <v>0</v>
      </c>
      <c r="S60" s="53" t="inlineStr">
        <is>
          <t>ร้านหมี่กระเฉดย่านตลาดพลู ซอยเทอดไท 25</t>
        </is>
      </c>
      <c r="T60" s="51" t="n"/>
      <c r="U60" s="58" t="inlineStr">
        <is>
          <t>Y</t>
        </is>
      </c>
      <c r="V60" s="53" t="n"/>
      <c r="W60" s="53" t="n"/>
      <c r="X60" s="60" t="inlineStr">
        <is>
          <t>ร้านอาหาร</t>
        </is>
      </c>
      <c r="Y60" s="61" t="inlineStr">
        <is>
          <t>วัดปากน้ำภาษีเจริญ</t>
        </is>
      </c>
      <c r="Z60" s="62" t="n">
        <v>0.76</v>
      </c>
      <c r="AA60" s="61" t="inlineStr">
        <is>
          <t>ฉอเล้ง หมี่กระเฉด ตลาดพลู</t>
        </is>
      </c>
      <c r="AB60" s="63" t="n">
        <v>511</v>
      </c>
      <c r="AC60" s="61" t="inlineStr">
        <is>
          <t>ภัตตาคารอาหารไทย, ร้านอาหาร</t>
        </is>
      </c>
      <c r="AD60" s="61" t="inlineStr">
        <is>
          <t>Google Maps (รายวัน)</t>
        </is>
      </c>
      <c r="AE60" s="61" t="inlineStr">
        <is>
          <t>ทุกวัน 11:00-23:00 (เสาร์)</t>
        </is>
      </c>
      <c r="AF60" s="61" t="inlineStr">
        <is>
          <t>ประมาณการจากประเภทร้าน/ทำเล (ยังไม่ยืนยัน)</t>
        </is>
      </c>
      <c r="AG60" s="63" t="n"/>
      <c r="AH60" s="61" t="inlineStr">
        <is>
          <t>ซ.เทอดไท 25 ตลาดพลู ธนบุรี</t>
        </is>
      </c>
      <c r="AI60" s="61" t="inlineStr">
        <is>
          <t>+66 62 569 1465</t>
        </is>
      </c>
      <c r="AJ60" s="61" t="inlineStr">
        <is>
          <t>ChIJ026d7FuY4jARmnM2EpwSY9M</t>
        </is>
      </c>
      <c r="AK60" s="64" t="inlineStr">
        <is>
          <t>เปิดแผนที่ ↗</t>
        </is>
      </c>
    </row>
    <row r="61" ht="20" customHeight="1">
      <c r="A61" s="50" t="inlineStr">
        <is>
          <t>bangkok-restaurant-meili-cafe</t>
        </is>
      </c>
      <c r="B61" s="51" t="inlineStr">
        <is>
          <t>restaurant</t>
        </is>
      </c>
      <c r="C61" s="52" t="inlineStr">
        <is>
          <t>Meili Cafe เหม่ยลี่คาเฟ่</t>
        </is>
      </c>
      <c r="D61" s="53" t="inlineStr">
        <is>
          <t>ตลาดพลู-ภาษีเจริญ</t>
        </is>
      </c>
      <c r="E61" s="54" t="n">
        <v>13.7226145</v>
      </c>
      <c r="F61" s="55" t="n">
        <v>100.4691131</v>
      </c>
      <c r="G61" s="56" t="inlineStr">
        <is>
          <t>cafe</t>
        </is>
      </c>
      <c r="H61" s="51" t="n">
        <v>2</v>
      </c>
      <c r="I61" s="57" t="n">
        <v>4.8</v>
      </c>
      <c r="J61" s="58" t="inlineStr">
        <is>
          <t>09:00-17:30</t>
        </is>
      </c>
      <c r="K61" s="51" t="inlineStr">
        <is>
          <t>09:00-17:30</t>
        </is>
      </c>
      <c r="L61" s="51" t="inlineStr">
        <is>
          <t>09:00-17:30</t>
        </is>
      </c>
      <c r="M61" s="51" t="inlineStr">
        <is>
          <t>09:00-17:30</t>
        </is>
      </c>
      <c r="N61" s="51" t="inlineStr">
        <is>
          <t>09:00-17:30</t>
        </is>
      </c>
      <c r="O61" s="51" t="inlineStr">
        <is>
          <t>09:00-17:30</t>
        </is>
      </c>
      <c r="P61" s="51" t="inlineStr">
        <is>
          <t>09:00-17:30</t>
        </is>
      </c>
      <c r="Q61" s="58" t="n">
        <v>30</v>
      </c>
      <c r="R61" s="59" t="n">
        <v>0</v>
      </c>
      <c r="S61" s="53" t="inlineStr">
        <is>
          <t>คาเฟ่ย่านปากคลองภาษีเจริญ ใกล้วัดปากน้ำ</t>
        </is>
      </c>
      <c r="T61" s="51" t="n"/>
      <c r="U61" s="58" t="inlineStr">
        <is>
          <t>N</t>
        </is>
      </c>
      <c r="V61" s="53" t="n"/>
      <c r="W61" s="53" t="n"/>
      <c r="X61" s="60" t="inlineStr">
        <is>
          <t>ร้านเครื่องดื่ม</t>
        </is>
      </c>
      <c r="Y61" s="61" t="inlineStr">
        <is>
          <t>วัดปากน้ำภาษีเจริญ</t>
        </is>
      </c>
      <c r="Z61" s="62" t="n">
        <v>0.16</v>
      </c>
      <c r="AA61" s="61" t="inlineStr">
        <is>
          <t>Meili Cafe เหม่ยลี่คาเฟ่</t>
        </is>
      </c>
      <c r="AB61" s="63" t="n">
        <v>335</v>
      </c>
      <c r="AC61" s="61" t="inlineStr">
        <is>
          <t>ร้านกาแฟ</t>
        </is>
      </c>
      <c r="AD61" s="61" t="inlineStr">
        <is>
          <t>Google Maps (รายวัน)</t>
        </is>
      </c>
      <c r="AE61" s="61" t="inlineStr">
        <is>
          <t>ทุกวัน 09:00-17:30</t>
        </is>
      </c>
      <c r="AF61" s="61" t="inlineStr">
        <is>
          <t>ประมาณการจากประเภทร้าน/ทำเล (ยังไม่ยืนยัน)</t>
        </is>
      </c>
      <c r="AG61" s="63" t="n"/>
      <c r="AH61" s="61" t="inlineStr">
        <is>
          <t>196 ปากคลองภาษีเจริญ ภาษีเจริญ</t>
        </is>
      </c>
      <c r="AI61" s="61" t="inlineStr">
        <is>
          <t>+66 82 682 6869</t>
        </is>
      </c>
      <c r="AJ61" s="61" t="inlineStr">
        <is>
          <t>ChIJt441FFyZ4jARjDnyNMSSHCE</t>
        </is>
      </c>
      <c r="AK61" s="64" t="inlineStr">
        <is>
          <t>เปิดแผนที่ ↗</t>
        </is>
      </c>
    </row>
    <row r="62" ht="20" customHeight="1">
      <c r="A62" s="50" t="inlineStr">
        <is>
          <t>bangkok-restaurant-uruea-cafe</t>
        </is>
      </c>
      <c r="B62" s="51" t="inlineStr">
        <is>
          <t>restaurant</t>
        </is>
      </c>
      <c r="C62" s="52" t="inlineStr">
        <is>
          <t>Uruea Café (อุรุเอ คาเฟ่)</t>
        </is>
      </c>
      <c r="D62" s="53" t="inlineStr">
        <is>
          <t>ตลาดพลู-ภาษีเจริญ</t>
        </is>
      </c>
      <c r="E62" s="54" t="n">
        <v>13.724611</v>
      </c>
      <c r="F62" s="55" t="n">
        <v>100.4723152</v>
      </c>
      <c r="G62" s="56" t="inlineStr">
        <is>
          <t>cafe</t>
        </is>
      </c>
      <c r="H62" s="51" t="n">
        <v>2</v>
      </c>
      <c r="I62" s="57" t="n">
        <v>4.3</v>
      </c>
      <c r="J62" s="58" t="inlineStr">
        <is>
          <t>10:00-19:00</t>
        </is>
      </c>
      <c r="K62" s="51" t="inlineStr">
        <is>
          <t>10:00-19:00</t>
        </is>
      </c>
      <c r="L62" s="51" t="inlineStr">
        <is>
          <t>10:00-19:00</t>
        </is>
      </c>
      <c r="M62" s="51" t="inlineStr">
        <is>
          <t>10:00-19:00</t>
        </is>
      </c>
      <c r="N62" s="51" t="inlineStr">
        <is>
          <t>10:00-19:00</t>
        </is>
      </c>
      <c r="O62" s="51" t="inlineStr">
        <is>
          <t>10:00-19:00</t>
        </is>
      </c>
      <c r="P62" s="51" t="inlineStr">
        <is>
          <t>10:00-19:00</t>
        </is>
      </c>
      <c r="Q62" s="58" t="n">
        <v>45</v>
      </c>
      <c r="R62" s="59" t="n">
        <v>0</v>
      </c>
      <c r="S62" s="53" t="inlineStr">
        <is>
          <t>คาเฟ่ในพื้นที่อู่เรือเก่า ย่านวัดท่าพระ มีอาหารและเครื่องดื่ม</t>
        </is>
      </c>
      <c r="T62" s="51" t="n"/>
      <c r="U62" s="58" t="inlineStr">
        <is>
          <t>N</t>
        </is>
      </c>
      <c r="V62" s="53" t="n"/>
      <c r="W62" s="53" t="n"/>
      <c r="X62" s="60" t="inlineStr">
        <is>
          <t>ร้านเครื่องดื่ม</t>
        </is>
      </c>
      <c r="Y62" s="61" t="inlineStr">
        <is>
          <t>วัดปากน้ำภาษีเจริญ</t>
        </is>
      </c>
      <c r="Z62" s="62" t="n">
        <v>0.38</v>
      </c>
      <c r="AA62" s="61" t="inlineStr">
        <is>
          <t>อู่เรือคาเฟ่ (Uruea Cafe Parking)</t>
        </is>
      </c>
      <c r="AB62" s="63" t="n">
        <v>312</v>
      </c>
      <c r="AC62" s="61" t="inlineStr">
        <is>
          <t>ร้านกาแฟ, ร้านอาหาร</t>
        </is>
      </c>
      <c r="AD62" s="61" t="inlineStr">
        <is>
          <t>Google Maps (รายวัน)</t>
        </is>
      </c>
      <c r="AE62" s="61" t="inlineStr">
        <is>
          <t>ทุกวัน 10:00-19:00</t>
        </is>
      </c>
      <c r="AF62" s="61" t="inlineStr">
        <is>
          <t>ประมาณการจากประเภทร้าน/ทำเล (ยังไม่ยืนยัน)</t>
        </is>
      </c>
      <c r="AG62" s="63" t="n"/>
      <c r="AH62" s="61" t="inlineStr">
        <is>
          <t>ซ.เพชรเกษม 15 แยก 9 วัดท่าพระ บางกอกใหญ่</t>
        </is>
      </c>
      <c r="AI62" s="61" t="inlineStr">
        <is>
          <t>+66 61 363 6646</t>
        </is>
      </c>
      <c r="AJ62" s="61" t="inlineStr">
        <is>
          <t>ChIJYdBkWayZ4jARyCQGsj2EXnM</t>
        </is>
      </c>
      <c r="AK62" s="64" t="inlineStr">
        <is>
          <t>เปิดแผนที่ ↗</t>
        </is>
      </c>
    </row>
    <row r="63" ht="20" customHeight="1">
      <c r="A63" s="50" t="inlineStr">
        <is>
          <t>bangkok-restaurant-cino-cafe-wat-paknam</t>
        </is>
      </c>
      <c r="B63" s="51" t="inlineStr">
        <is>
          <t>restaurant</t>
        </is>
      </c>
      <c r="C63" s="52" t="inlineStr">
        <is>
          <t>Cino (ชิโน่ คาเฟ่)</t>
        </is>
      </c>
      <c r="D63" s="53" t="inlineStr">
        <is>
          <t>ตลาดพลู-ภาษีเจริญ</t>
        </is>
      </c>
      <c r="E63" s="54" t="n">
        <v>13.7210525</v>
      </c>
      <c r="F63" s="55" t="n">
        <v>100.4703311</v>
      </c>
      <c r="G63" s="56" t="inlineStr">
        <is>
          <t>cafe</t>
        </is>
      </c>
      <c r="H63" s="51" t="n">
        <v>1</v>
      </c>
      <c r="I63" s="57" t="n">
        <v>4.4</v>
      </c>
      <c r="J63" s="58" t="inlineStr">
        <is>
          <t>09:00-17:00</t>
        </is>
      </c>
      <c r="K63" s="51" t="inlineStr">
        <is>
          <t>09:00-17:00</t>
        </is>
      </c>
      <c r="L63" s="51" t="inlineStr">
        <is>
          <t>09:00-17:00</t>
        </is>
      </c>
      <c r="M63" s="51" t="inlineStr">
        <is>
          <t>09:00-17:00</t>
        </is>
      </c>
      <c r="N63" s="51" t="inlineStr">
        <is>
          <t>09:00-17:00</t>
        </is>
      </c>
      <c r="O63" s="51" t="inlineStr">
        <is>
          <t>09:00-17:00</t>
        </is>
      </c>
      <c r="P63" s="51" t="n"/>
      <c r="Q63" s="58" t="n">
        <v>30</v>
      </c>
      <c r="R63" s="59" t="n">
        <v>0</v>
      </c>
      <c r="S63" s="53" t="inlineStr">
        <is>
          <t>ร้านกาแฟเล็ก ๆ ใกล้วัดปากน้ำภาษีเจริญ</t>
        </is>
      </c>
      <c r="T63" s="51" t="n"/>
      <c r="U63" s="58" t="inlineStr">
        <is>
          <t>N</t>
        </is>
      </c>
      <c r="V63" s="53" t="n"/>
      <c r="W63" s="53" t="n"/>
      <c r="X63" s="60" t="inlineStr">
        <is>
          <t>ร้านเครื่องดื่ม</t>
        </is>
      </c>
      <c r="Y63" s="61" t="inlineStr">
        <is>
          <t>วัดปากน้ำภาษีเจริญ</t>
        </is>
      </c>
      <c r="Z63" s="62" t="n">
        <v>0.08</v>
      </c>
      <c r="AA63" s="61" t="inlineStr">
        <is>
          <t>ชีโน</t>
        </is>
      </c>
      <c r="AB63" s="63" t="n">
        <v>14</v>
      </c>
      <c r="AC63" s="61" t="inlineStr">
        <is>
          <t>ร้านกาแฟ</t>
        </is>
      </c>
      <c r="AD63" s="61" t="inlineStr">
        <is>
          <t>Google Maps (รายวัน)</t>
        </is>
      </c>
      <c r="AE63" s="61" t="inlineStr">
        <is>
          <t>จ-ส 09:00-17:00 (ปิดวันอาทิตย์)</t>
        </is>
      </c>
      <c r="AF63" s="61" t="inlineStr">
        <is>
          <t>ประมาณการจากประเภทร้าน/ทำเล (ยังไม่ยืนยัน)</t>
        </is>
      </c>
      <c r="AG63" s="63" t="n"/>
      <c r="AH63" s="61" t="inlineStr">
        <is>
          <t>112/2 วัดปากน้ำ ปากคลองภาษีเจริญ ภาษีเจริญ</t>
        </is>
      </c>
      <c r="AI63" s="61" t="n"/>
      <c r="AJ63" s="61" t="inlineStr">
        <is>
          <t>ChIJsZOKY0SY4jAR9YUtLVVi9us</t>
        </is>
      </c>
      <c r="AK63" s="64" t="inlineStr">
        <is>
          <t>เปิดแผนที่ ↗</t>
        </is>
      </c>
    </row>
    <row r="64" ht="20" customHeight="1">
      <c r="A64" s="50" t="inlineStr">
        <is>
          <t>bangkok-restaurant-ni-ang-shaved-ice</t>
        </is>
      </c>
      <c r="B64" s="51" t="inlineStr">
        <is>
          <t>restaurant</t>
        </is>
      </c>
      <c r="C64" s="52" t="inlineStr">
        <is>
          <t>Ni-Ang Shaved Ice Cream (นิ่ง ไอศกรีมไข่แดง)</t>
        </is>
      </c>
      <c r="D64" s="53" t="inlineStr">
        <is>
          <t>ตลาดพลู-ภาษีเจริญ</t>
        </is>
      </c>
      <c r="E64" s="54" t="n">
        <v>13.720495</v>
      </c>
      <c r="F64" s="55" t="n">
        <v>100.4775066</v>
      </c>
      <c r="G64" s="56" t="inlineStr">
        <is>
          <t>localFood</t>
        </is>
      </c>
      <c r="H64" s="51" t="n">
        <v>1</v>
      </c>
      <c r="I64" s="57" t="n">
        <v>4.2</v>
      </c>
      <c r="J64" s="58" t="inlineStr">
        <is>
          <t>15:00-26:00</t>
        </is>
      </c>
      <c r="K64" s="51" t="inlineStr">
        <is>
          <t>15:00-26:00</t>
        </is>
      </c>
      <c r="L64" s="51" t="inlineStr">
        <is>
          <t>15:00-26:00</t>
        </is>
      </c>
      <c r="M64" s="51" t="inlineStr">
        <is>
          <t>15:00-26:00</t>
        </is>
      </c>
      <c r="N64" s="51" t="inlineStr">
        <is>
          <t>15:00-26:00</t>
        </is>
      </c>
      <c r="O64" s="51" t="inlineStr">
        <is>
          <t>15:00-26:00</t>
        </is>
      </c>
      <c r="P64" s="51" t="inlineStr">
        <is>
          <t>15:00-26:00</t>
        </is>
      </c>
      <c r="Q64" s="58" t="n">
        <v>20</v>
      </c>
      <c r="R64" s="59" t="n">
        <v>0</v>
      </c>
      <c r="S64" s="53" t="inlineStr">
        <is>
          <t>ร้านน้ำแข็งไสและไอศกรีมไข่แดง ย่านตลาดพลู</t>
        </is>
      </c>
      <c r="T64" s="51" t="n"/>
      <c r="U64" s="58" t="inlineStr">
        <is>
          <t>N</t>
        </is>
      </c>
      <c r="V64" s="53" t="n"/>
      <c r="W64" s="53" t="inlineStr">
        <is>
          <t>ปิดหลังเที่ยงคืน เขียนเวลาปิดเกิน 24:00 ตามรูปแบบ ClockTime</t>
        </is>
      </c>
      <c r="X64" s="60" t="inlineStr">
        <is>
          <t>ร้านของหวาน</t>
        </is>
      </c>
      <c r="Y64" s="61" t="inlineStr">
        <is>
          <t>วัดปากน้ำภาษีเจริญ</t>
        </is>
      </c>
      <c r="Z64" s="62" t="n">
        <v>0.79</v>
      </c>
      <c r="AA64" s="61" t="inlineStr">
        <is>
          <t>นิ-อ่าง น้ำแข็งไส ไอศครีม</t>
        </is>
      </c>
      <c r="AB64" s="63" t="n">
        <v>875</v>
      </c>
      <c r="AC64" s="61" t="inlineStr">
        <is>
          <t>ร้านไอศกรีม</t>
        </is>
      </c>
      <c r="AD64" s="61" t="inlineStr">
        <is>
          <t>Google Maps (รายวัน)</t>
        </is>
      </c>
      <c r="AE64" s="61" t="inlineStr">
        <is>
          <t>ทุกวัน 15:00-02:00</t>
        </is>
      </c>
      <c r="AF64" s="61" t="inlineStr">
        <is>
          <t>ประมาณการจากประเภทร้าน/ทำเล (ยังไม่ยืนยัน)</t>
        </is>
      </c>
      <c r="AG64" s="63" t="n"/>
      <c r="AH64" s="61" t="inlineStr">
        <is>
          <t>919 ซ.เลียบทางรถไฟ ตลาดพลู ธนบุรี</t>
        </is>
      </c>
      <c r="AI64" s="61" t="inlineStr">
        <is>
          <t>+66 81 920 7802</t>
        </is>
      </c>
      <c r="AJ64" s="61" t="inlineStr">
        <is>
          <t>ChIJmZilkluY4jARrhZbeqVgOqQ</t>
        </is>
      </c>
      <c r="AK64" s="64" t="inlineStr">
        <is>
          <t>เปิดแผนที่ ↗</t>
        </is>
      </c>
    </row>
    <row r="65" ht="20" customHeight="1">
      <c r="A65" s="50" t="inlineStr">
        <is>
          <t>bangkok-restaurant-baolu-talat-phlu</t>
        </is>
      </c>
      <c r="B65" s="51" t="inlineStr">
        <is>
          <t>restaurant</t>
        </is>
      </c>
      <c r="C65" s="52" t="inlineStr">
        <is>
          <t>bāolú</t>
        </is>
      </c>
      <c r="D65" s="53" t="inlineStr">
        <is>
          <t>ตลาดพลู-ภาษีเจริญ</t>
        </is>
      </c>
      <c r="E65" s="54" t="n">
        <v>13.7210618</v>
      </c>
      <c r="F65" s="55" t="n">
        <v>100.4768066</v>
      </c>
      <c r="G65" s="56" t="inlineStr">
        <is>
          <t>localFood</t>
        </is>
      </c>
      <c r="H65" s="51" t="n">
        <v>1</v>
      </c>
      <c r="I65" s="57" t="n">
        <v>4.4</v>
      </c>
      <c r="J65" s="58" t="inlineStr">
        <is>
          <t>15:00-23:00</t>
        </is>
      </c>
      <c r="K65" s="51" t="inlineStr">
        <is>
          <t>15:00-23:00</t>
        </is>
      </c>
      <c r="L65" s="51" t="inlineStr">
        <is>
          <t>15:00-23:00</t>
        </is>
      </c>
      <c r="M65" s="51" t="inlineStr">
        <is>
          <t>15:00-23:00</t>
        </is>
      </c>
      <c r="N65" s="51" t="inlineStr">
        <is>
          <t>15:00-23:00</t>
        </is>
      </c>
      <c r="O65" s="51" t="inlineStr">
        <is>
          <t>15:00-23:00</t>
        </is>
      </c>
      <c r="P65" s="51" t="inlineStr">
        <is>
          <t>15:00-23:00</t>
        </is>
      </c>
      <c r="Q65" s="58" t="n">
        <v>20</v>
      </c>
      <c r="R65" s="59" t="n">
        <v>0</v>
      </c>
      <c r="S65" s="53" t="inlineStr">
        <is>
          <t>ขนมปังปิ้งเตาถ่านเจ้าดังย่านตลาดพลู</t>
        </is>
      </c>
      <c r="T65" s="51" t="n"/>
      <c r="U65" s="58" t="inlineStr">
        <is>
          <t>N</t>
        </is>
      </c>
      <c r="V65" s="53" t="n"/>
      <c r="W65" s="53" t="n"/>
      <c r="X65" s="60" t="inlineStr">
        <is>
          <t>ร้านของหวาน</t>
        </is>
      </c>
      <c r="Y65" s="61" t="inlineStr">
        <is>
          <t>วัดปากน้ำภาษีเจริญ</t>
        </is>
      </c>
      <c r="Z65" s="62" t="n">
        <v>0.7</v>
      </c>
      <c r="AA65" s="61" t="inlineStr">
        <is>
          <t>ปังโล้ว bāolú - ขนมปังเตาถ่านเจ้าดังตลาดพลู</t>
        </is>
      </c>
      <c r="AB65" s="63" t="n">
        <v>37</v>
      </c>
      <c r="AC65" s="61" t="inlineStr">
        <is>
          <t>ร้านขายขนมปัง</t>
        </is>
      </c>
      <c r="AD65" s="61" t="inlineStr">
        <is>
          <t>Google Maps (รายวัน)</t>
        </is>
      </c>
      <c r="AE65" s="61" t="inlineStr">
        <is>
          <t>ทุกวัน 15:00-23:00 (เสาร์)</t>
        </is>
      </c>
      <c r="AF65" s="61" t="inlineStr">
        <is>
          <t>ประมาณการจากประเภทร้าน/ทำเล (ยังไม่ยืนยัน)</t>
        </is>
      </c>
      <c r="AG65" s="63" t="n"/>
      <c r="AH65" s="61" t="inlineStr">
        <is>
          <t>ปากซ.เทอดไท 20 ตลาดพลู ธนบุรี</t>
        </is>
      </c>
      <c r="AI65" s="61" t="inlineStr">
        <is>
          <t>+66 81 838 4480</t>
        </is>
      </c>
      <c r="AJ65" s="61" t="inlineStr">
        <is>
          <t>ChIJbxDHe5aZ4jARisr7Zv3inFw</t>
        </is>
      </c>
      <c r="AK65" s="64" t="inlineStr">
        <is>
          <t>เปิดแผนที่ ↗</t>
        </is>
      </c>
    </row>
    <row r="66" ht="20" customHeight="1">
      <c r="A66" s="50" t="inlineStr">
        <is>
          <t>bangkok-restaurant-family-bakery-talat-phlu</t>
        </is>
      </c>
      <c r="B66" s="51" t="inlineStr">
        <is>
          <t>restaurant</t>
        </is>
      </c>
      <c r="C66" s="52" t="inlineStr">
        <is>
          <t>Family Bakery</t>
        </is>
      </c>
      <c r="D66" s="53" t="inlineStr">
        <is>
          <t>ตลาดพลู-ภาษีเจริญ</t>
        </is>
      </c>
      <c r="E66" s="54" t="n">
        <v>13.7190254</v>
      </c>
      <c r="F66" s="55" t="n">
        <v>100.4754162</v>
      </c>
      <c r="G66" s="56" t="inlineStr">
        <is>
          <t>localFood</t>
        </is>
      </c>
      <c r="H66" s="51" t="n">
        <v>1</v>
      </c>
      <c r="I66" s="57" t="n">
        <v>4.4</v>
      </c>
      <c r="J66" s="58" t="inlineStr">
        <is>
          <t>07:00-21:00</t>
        </is>
      </c>
      <c r="K66" s="51" t="inlineStr">
        <is>
          <t>07:00-21:00</t>
        </is>
      </c>
      <c r="L66" s="51" t="inlineStr">
        <is>
          <t>07:00-21:00</t>
        </is>
      </c>
      <c r="M66" s="51" t="inlineStr">
        <is>
          <t>07:00-21:00</t>
        </is>
      </c>
      <c r="N66" s="51" t="inlineStr">
        <is>
          <t>07:00-21:00</t>
        </is>
      </c>
      <c r="O66" s="51" t="inlineStr">
        <is>
          <t>07:00-21:00</t>
        </is>
      </c>
      <c r="P66" s="51" t="inlineStr">
        <is>
          <t>07:00-21:00</t>
        </is>
      </c>
      <c r="Q66" s="58" t="n">
        <v>20</v>
      </c>
      <c r="R66" s="59" t="n">
        <v>0</v>
      </c>
      <c r="S66" s="53" t="inlineStr">
        <is>
          <t>ร้านเบเกอรี่ย่านตลาดพลู ซอยเทอดไท 33</t>
        </is>
      </c>
      <c r="T66" s="51" t="n"/>
      <c r="U66" s="58" t="inlineStr">
        <is>
          <t>N</t>
        </is>
      </c>
      <c r="V66" s="53" t="n"/>
      <c r="W66" s="53" t="n"/>
      <c r="X66" s="60" t="inlineStr">
        <is>
          <t>ร้านของหวาน</t>
        </is>
      </c>
      <c r="Y66" s="61" t="inlineStr">
        <is>
          <t>วัดปากน้ำภาษีเจริญ</t>
        </is>
      </c>
      <c r="Z66" s="62" t="n">
        <v>0.63</v>
      </c>
      <c r="AA66" s="61" t="inlineStr">
        <is>
          <t>แฟมิลี่ เบเกอรี่</t>
        </is>
      </c>
      <c r="AB66" s="63" t="n">
        <v>16</v>
      </c>
      <c r="AC66" s="61" t="inlineStr">
        <is>
          <t>ร้านเบเกอรี่</t>
        </is>
      </c>
      <c r="AD66" s="61" t="inlineStr">
        <is>
          <t>Google Maps (รายวัน)</t>
        </is>
      </c>
      <c r="AE66" s="61" t="inlineStr">
        <is>
          <t>ทุกวัน 07:00-21:00 (เสาร์)</t>
        </is>
      </c>
      <c r="AF66" s="61" t="inlineStr">
        <is>
          <t>ประมาณการจากประเภทร้าน/ทำเล (ยังไม่ยืนยัน)</t>
        </is>
      </c>
      <c r="AG66" s="63" t="n"/>
      <c r="AH66" s="61" t="inlineStr">
        <is>
          <t>66/6 ซ.เทอดไท 33 ตลาดพลู ธนบุรี</t>
        </is>
      </c>
      <c r="AI66" s="61" t="inlineStr">
        <is>
          <t>+66 2 465 6004</t>
        </is>
      </c>
      <c r="AJ66" s="61" t="inlineStr">
        <is>
          <t>ChIJkSZ-Y1uY4jARBUk3CwCBWZU</t>
        </is>
      </c>
      <c r="AK66" s="64" t="inlineStr">
        <is>
          <t>เปิดแผนที่ ↗</t>
        </is>
      </c>
    </row>
    <row r="67" ht="20" customHeight="1">
      <c r="A67" s="50" t="inlineStr">
        <is>
          <t>bangkok-restaurant-jae-keang-banthat-thong</t>
        </is>
      </c>
      <c r="B67" s="51" t="inlineStr">
        <is>
          <t>restaurant</t>
        </is>
      </c>
      <c r="C67" s="52" t="inlineStr">
        <is>
          <t>Jae Keang (Banthat Thong)</t>
        </is>
      </c>
      <c r="D67" s="53" t="inlineStr">
        <is>
          <t>บรรทัดทอง</t>
        </is>
      </c>
      <c r="E67" s="54" t="n">
        <v>13.7461796</v>
      </c>
      <c r="F67" s="55" t="n">
        <v>100.5236466</v>
      </c>
      <c r="G67" s="56" t="inlineStr">
        <is>
          <t>localFood</t>
        </is>
      </c>
      <c r="H67" s="51" t="n">
        <v>1</v>
      </c>
      <c r="I67" s="57" t="n">
        <v>4.4</v>
      </c>
      <c r="J67" s="58" t="inlineStr">
        <is>
          <t>16:00-24:00</t>
        </is>
      </c>
      <c r="K67" s="51" t="inlineStr">
        <is>
          <t>16:00-24:00</t>
        </is>
      </c>
      <c r="L67" s="51" t="inlineStr">
        <is>
          <t>16:00-24:00</t>
        </is>
      </c>
      <c r="M67" s="51" t="inlineStr">
        <is>
          <t>16:00-24:00</t>
        </is>
      </c>
      <c r="N67" s="51" t="inlineStr">
        <is>
          <t>16:00-24:00</t>
        </is>
      </c>
      <c r="O67" s="51" t="inlineStr">
        <is>
          <t>16:00-24:00</t>
        </is>
      </c>
      <c r="P67" s="51" t="inlineStr">
        <is>
          <t>16:00-24:00</t>
        </is>
      </c>
      <c r="Q67" s="58" t="n">
        <v>45</v>
      </c>
      <c r="R67" s="59" t="n">
        <v>0</v>
      </c>
      <c r="S67" s="53" t="inlineStr">
        <is>
          <t>ร้านอาหารจีนบนถนนบรรทัดทอง</t>
        </is>
      </c>
      <c r="T67" s="51" t="n"/>
      <c r="U67" s="58" t="inlineStr">
        <is>
          <t>Y</t>
        </is>
      </c>
      <c r="V67" s="53" t="n"/>
      <c r="W67" s="53" t="n"/>
      <c r="X67" s="60" t="inlineStr">
        <is>
          <t>ร้านอาหาร</t>
        </is>
      </c>
      <c r="Y67" s="61" t="inlineStr">
        <is>
          <t>บรรทัดทอง (ถ.บรรทัดทอง)</t>
        </is>
      </c>
      <c r="Z67" s="62" t="n">
        <v>0.78</v>
      </c>
      <c r="AA67" s="61" t="inlineStr">
        <is>
          <t>ร้านเจ๊เกียง (บรรทัดทอง)</t>
        </is>
      </c>
      <c r="AB67" s="63" t="n">
        <v>740</v>
      </c>
      <c r="AC67" s="61" t="inlineStr">
        <is>
          <t>ภัตตาคารอาหารจีน</t>
        </is>
      </c>
      <c r="AD67" s="61" t="inlineStr">
        <is>
          <t>Google Maps (รายวัน)</t>
        </is>
      </c>
      <c r="AE67" s="61" t="inlineStr">
        <is>
          <t>ทุกวัน 16:00-24:00</t>
        </is>
      </c>
      <c r="AF67" s="61" t="inlineStr">
        <is>
          <t>ประมาณการจากประเภทร้าน/ทำเล (ยังไม่ยืนยัน)</t>
        </is>
      </c>
      <c r="AG67" s="63" t="n"/>
      <c r="AH67" s="61" t="inlineStr">
        <is>
          <t>679 ถ.บรรทัดทอง วังใหม่ ปทุมวัน</t>
        </is>
      </c>
      <c r="AI67" s="61" t="inlineStr">
        <is>
          <t>+66 86 884 4352</t>
        </is>
      </c>
      <c r="AJ67" s="61" t="inlineStr">
        <is>
          <t>ChIJd0oN2SmZ4jARvT7TiGUmDGs</t>
        </is>
      </c>
      <c r="AK67" s="64" t="inlineStr">
        <is>
          <t>เปิดแผนที่ ↗</t>
        </is>
      </c>
    </row>
    <row r="68" ht="20" customHeight="1">
      <c r="A68" s="50" t="inlineStr">
        <is>
          <t>bangkok-restaurant-pa-nee-kung-chae-nam-pla</t>
        </is>
      </c>
      <c r="B68" s="51" t="inlineStr">
        <is>
          <t>restaurant</t>
        </is>
      </c>
      <c r="C68" s="52" t="inlineStr">
        <is>
          <t>Pa Nee Kung Chae Nam Pla (ป้านีกุ้งแช่น้ำปลา)</t>
        </is>
      </c>
      <c r="D68" s="53" t="inlineStr">
        <is>
          <t>บรรทัดทอง</t>
        </is>
      </c>
      <c r="E68" s="54" t="n">
        <v>13.7428894</v>
      </c>
      <c r="F68" s="55" t="n">
        <v>100.5237008</v>
      </c>
      <c r="G68" s="56" t="inlineStr">
        <is>
          <t>seafood,localFood</t>
        </is>
      </c>
      <c r="H68" s="51" t="n">
        <v>2</v>
      </c>
      <c r="I68" s="57" t="n">
        <v>4.8</v>
      </c>
      <c r="J68" s="58" t="inlineStr">
        <is>
          <t>16:00-22:00</t>
        </is>
      </c>
      <c r="K68" s="51" t="inlineStr">
        <is>
          <t>16:00-22:00</t>
        </is>
      </c>
      <c r="L68" s="51" t="inlineStr">
        <is>
          <t>01:30-22:00</t>
        </is>
      </c>
      <c r="M68" s="51" t="inlineStr">
        <is>
          <t>16:00-22:00</t>
        </is>
      </c>
      <c r="N68" s="51" t="inlineStr">
        <is>
          <t>16:00-22:00</t>
        </is>
      </c>
      <c r="O68" s="51" t="inlineStr">
        <is>
          <t>16:00-22:00</t>
        </is>
      </c>
      <c r="P68" s="51" t="inlineStr">
        <is>
          <t>16:00-22:00</t>
        </is>
      </c>
      <c r="Q68" s="58" t="n">
        <v>45</v>
      </c>
      <c r="R68" s="59" t="n">
        <v>0</v>
      </c>
      <c r="S68" s="53" t="inlineStr">
        <is>
          <t>ร้านกุ้งแช่น้ำปลาและอาหารทะเล ซอยจุฬาฯ 14 ย่านบรรทัดทอง</t>
        </is>
      </c>
      <c r="T68" s="51" t="n"/>
      <c r="U68" s="58" t="inlineStr">
        <is>
          <t>Y</t>
        </is>
      </c>
      <c r="V68" s="53" t="n"/>
      <c r="W68" s="53" t="n"/>
      <c r="X68" s="60" t="inlineStr">
        <is>
          <t>ร้านอาหาร</t>
        </is>
      </c>
      <c r="Y68" s="61" t="inlineStr">
        <is>
          <t>บรรทัดทอง (ถ.บรรทัดทอง)</t>
        </is>
      </c>
      <c r="Z68" s="62" t="n">
        <v>0.42</v>
      </c>
      <c r="AA68" s="61" t="inlineStr">
        <is>
          <t>ป้านี กุ้งแช่น้ำปลาบรรทัดทอง</t>
        </is>
      </c>
      <c r="AB68" s="63" t="n">
        <v>1180</v>
      </c>
      <c r="AC68" s="61" t="inlineStr">
        <is>
          <t>ภัตตาคารอาหารทะเล</t>
        </is>
      </c>
      <c r="AD68" s="61" t="inlineStr">
        <is>
          <t>Google Maps (รายวัน)</t>
        </is>
      </c>
      <c r="AE68" s="61" t="inlineStr">
        <is>
          <t>ทุกวัน 16:00-22:00</t>
        </is>
      </c>
      <c r="AF68" s="61" t="inlineStr">
        <is>
          <t>ประมาณการจากประเภทร้าน/ทำเล (ยังไม่ยืนยัน)</t>
        </is>
      </c>
      <c r="AG68" s="63" t="n"/>
      <c r="AH68" s="61" t="inlineStr">
        <is>
          <t>36 ซ.จุฬาฯ 14 วังใหม่ ปทุมวัน</t>
        </is>
      </c>
      <c r="AI68" s="61" t="inlineStr">
        <is>
          <t>+66 90 646 9224</t>
        </is>
      </c>
      <c r="AJ68" s="61" t="inlineStr">
        <is>
          <t>ChIJicM_KrqZ4jARknIcSUkpVdg</t>
        </is>
      </c>
      <c r="AK68" s="64" t="inlineStr">
        <is>
          <t>เปิดแผนที่ ↗</t>
        </is>
      </c>
    </row>
    <row r="69" ht="20" customHeight="1">
      <c r="A69" s="50" t="inlineStr">
        <is>
          <t>bangkok-restaurant-somboon-seafood-banthat-thong</t>
        </is>
      </c>
      <c r="B69" s="51" t="inlineStr">
        <is>
          <t>restaurant</t>
        </is>
      </c>
      <c r="C69" s="52" t="inlineStr">
        <is>
          <t>Somboon Seafood (สมบูรณ์โภชนา บรรทัดทอง)</t>
        </is>
      </c>
      <c r="D69" s="53" t="inlineStr">
        <is>
          <t>บรรทัดทอง</t>
        </is>
      </c>
      <c r="E69" s="54" t="n">
        <v>13.745208</v>
      </c>
      <c r="F69" s="55" t="n">
        <v>100.523898</v>
      </c>
      <c r="G69" s="56" t="inlineStr">
        <is>
          <t>seafood,localFood,family</t>
        </is>
      </c>
      <c r="H69" s="51" t="n">
        <v>3</v>
      </c>
      <c r="I69" s="57" t="n">
        <v>4.4</v>
      </c>
      <c r="J69" s="58" t="inlineStr">
        <is>
          <t>11:00-22:00</t>
        </is>
      </c>
      <c r="K69" s="51" t="inlineStr">
        <is>
          <t>11:00-22:00</t>
        </is>
      </c>
      <c r="L69" s="51" t="inlineStr">
        <is>
          <t>11:00-22:00</t>
        </is>
      </c>
      <c r="M69" s="51" t="inlineStr">
        <is>
          <t>11:00-22:00</t>
        </is>
      </c>
      <c r="N69" s="51" t="inlineStr">
        <is>
          <t>11:00-22:00</t>
        </is>
      </c>
      <c r="O69" s="51" t="inlineStr">
        <is>
          <t>11:00-22:00</t>
        </is>
      </c>
      <c r="P69" s="51" t="inlineStr">
        <is>
          <t>11:00-22:00</t>
        </is>
      </c>
      <c r="Q69" s="58" t="n">
        <v>75</v>
      </c>
      <c r="R69" s="59" t="n">
        <v>0</v>
      </c>
      <c r="S69" s="53" t="inlineStr">
        <is>
          <t>ภัตตาคารอาหารทะเลเจ้าดัง ต้นตำรับปูผัดผงกะหรี่ สาขาบรรทัดทอง</t>
        </is>
      </c>
      <c r="T69" s="51" t="n"/>
      <c r="U69" s="58" t="inlineStr">
        <is>
          <t>Y</t>
        </is>
      </c>
      <c r="V69" s="53" t="n"/>
      <c r="W69" s="53" t="n"/>
      <c r="X69" s="60" t="inlineStr">
        <is>
          <t>ร้านอาหาร</t>
        </is>
      </c>
      <c r="Y69" s="61" t="inlineStr">
        <is>
          <t>บรรทัดทอง (ถ.บรรทัดทอง)</t>
        </is>
      </c>
      <c r="Z69" s="62" t="n">
        <v>0.67</v>
      </c>
      <c r="AA69" s="61" t="inlineStr">
        <is>
          <t>สมบูรณ์โภชนา สาขาบรรทัดทอง</t>
        </is>
      </c>
      <c r="AB69" s="63" t="n">
        <v>4893</v>
      </c>
      <c r="AC69" s="61" t="inlineStr">
        <is>
          <t>ภัตตาคารอาหารทะเล</t>
        </is>
      </c>
      <c r="AD69" s="61" t="inlineStr">
        <is>
          <t>Google Maps (รายวัน)</t>
        </is>
      </c>
      <c r="AE69" s="61" t="inlineStr">
        <is>
          <t>ทุกวัน 11:00-22:00</t>
        </is>
      </c>
      <c r="AF69" s="61" t="inlineStr">
        <is>
          <t>ประมาณการจากประเภทร้าน/ทำเล (ยังไม่ยืนยัน)</t>
        </is>
      </c>
      <c r="AG69" s="63" t="n"/>
      <c r="AH69" s="61" t="inlineStr">
        <is>
          <t>895/6-21 ถ.บรรทัดทอง วังใหม่ ปทุมวัน</t>
        </is>
      </c>
      <c r="AI69" s="61" t="inlineStr">
        <is>
          <t>+66 2 216 4203</t>
        </is>
      </c>
      <c r="AJ69" s="61" t="inlineStr">
        <is>
          <t>ChIJe_8_Ci6Z4jARqgBTNie9XqE</t>
        </is>
      </c>
      <c r="AK69" s="64" t="inlineStr">
        <is>
          <t>เปิดแผนที่ ↗</t>
        </is>
      </c>
    </row>
    <row r="70" ht="20" customHeight="1">
      <c r="A70" s="50" t="inlineStr">
        <is>
          <t>bangkok-restaurant-everyday-thai-tea-hq</t>
        </is>
      </c>
      <c r="B70" s="51" t="inlineStr">
        <is>
          <t>restaurant</t>
        </is>
      </c>
      <c r="C70" s="52" t="inlineStr">
        <is>
          <t>Everyday Thai Tea (Head Quarter)</t>
        </is>
      </c>
      <c r="D70" s="53" t="inlineStr">
        <is>
          <t>บรรทัดทอง</t>
        </is>
      </c>
      <c r="E70" s="54" t="n">
        <v>13.743727</v>
      </c>
      <c r="F70" s="55" t="n">
        <v>100.5236964</v>
      </c>
      <c r="G70" s="56" t="inlineStr">
        <is>
          <t>cafe</t>
        </is>
      </c>
      <c r="H70" s="51" t="n">
        <v>1</v>
      </c>
      <c r="I70" s="57" t="n">
        <v>4.3</v>
      </c>
      <c r="J70" s="58" t="inlineStr">
        <is>
          <t>10:00-21:00</t>
        </is>
      </c>
      <c r="K70" s="51" t="inlineStr">
        <is>
          <t>10:00-21:00</t>
        </is>
      </c>
      <c r="L70" s="51" t="inlineStr">
        <is>
          <t>10:00-21:00</t>
        </is>
      </c>
      <c r="M70" s="51" t="inlineStr">
        <is>
          <t>10:00-21:00</t>
        </is>
      </c>
      <c r="N70" s="51" t="inlineStr">
        <is>
          <t>10:00-21:00</t>
        </is>
      </c>
      <c r="O70" s="51" t="inlineStr">
        <is>
          <t>10:00-21:00</t>
        </is>
      </c>
      <c r="P70" s="51" t="inlineStr">
        <is>
          <t>10:00-21:00</t>
        </is>
      </c>
      <c r="Q70" s="58" t="n">
        <v>20</v>
      </c>
      <c r="R70" s="59" t="n">
        <v>0</v>
      </c>
      <c r="S70" s="53" t="inlineStr">
        <is>
          <t>ร้านชาไทยและชานมไข่มุก สำนักงานใหญ่ในซอยจุฬาฯ 12</t>
        </is>
      </c>
      <c r="T70" s="51" t="n"/>
      <c r="U70" s="58" t="inlineStr">
        <is>
          <t>N</t>
        </is>
      </c>
      <c r="V70" s="53" t="n"/>
      <c r="W70" s="53" t="n"/>
      <c r="X70" s="60" t="inlineStr">
        <is>
          <t>ร้านเครื่องดื่ม</t>
        </is>
      </c>
      <c r="Y70" s="61" t="inlineStr">
        <is>
          <t>บรรทัดทอง (ถ.บรรทัดทอง)</t>
        </is>
      </c>
      <c r="Z70" s="62" t="n">
        <v>0.51</v>
      </c>
      <c r="AA70" s="61" t="inlineStr">
        <is>
          <t>ฉันจะกินชาเย็นทุกวัน (สำนักงานใหญ่)</t>
        </is>
      </c>
      <c r="AB70" s="63" t="n">
        <v>394</v>
      </c>
      <c r="AC70" s="61" t="inlineStr">
        <is>
          <t>ร้านกาแฟ, ชาไข่มุก</t>
        </is>
      </c>
      <c r="AD70" s="61" t="inlineStr">
        <is>
          <t>Google Maps (รายวัน)</t>
        </is>
      </c>
      <c r="AE70" s="61" t="inlineStr">
        <is>
          <t>ทุกวัน 10:00-21:00</t>
        </is>
      </c>
      <c r="AF70" s="61" t="inlineStr">
        <is>
          <t>ประมาณการจากประเภทร้าน/ทำเล (ยังไม่ยืนยัน)</t>
        </is>
      </c>
      <c r="AG70" s="63" t="n"/>
      <c r="AH70" s="61" t="inlineStr">
        <is>
          <t>13 ซ.จุฬาลงกรณ์ 12 รองเมือง ปทุมวัน</t>
        </is>
      </c>
      <c r="AI70" s="61" t="inlineStr">
        <is>
          <t>+66 81 235 3926</t>
        </is>
      </c>
      <c r="AJ70" s="61" t="inlineStr">
        <is>
          <t>ChIJ3zD-QBaZ4jARgbCPH2kTR3w</t>
        </is>
      </c>
      <c r="AK70" s="64" t="inlineStr">
        <is>
          <t>เปิดแผนที่ ↗</t>
        </is>
      </c>
    </row>
    <row r="71" ht="20" customHeight="1">
      <c r="A71" s="50" t="inlineStr">
        <is>
          <t>bangkok-restaurant-tea-pearl-banthat-thong</t>
        </is>
      </c>
      <c r="B71" s="51" t="inlineStr">
        <is>
          <t>restaurant</t>
        </is>
      </c>
      <c r="C71" s="52" t="inlineStr">
        <is>
          <t>TEA PEARL</t>
        </is>
      </c>
      <c r="D71" s="53" t="inlineStr">
        <is>
          <t>บรรทัดทอง</t>
        </is>
      </c>
      <c r="E71" s="54" t="n">
        <v>13.7450359</v>
      </c>
      <c r="F71" s="55" t="n">
        <v>100.5232219</v>
      </c>
      <c r="G71" s="56" t="inlineStr">
        <is>
          <t>cafe</t>
        </is>
      </c>
      <c r="H71" s="51" t="n">
        <v>1</v>
      </c>
      <c r="I71" s="57" t="n">
        <v>4.4</v>
      </c>
      <c r="J71" s="58" t="inlineStr">
        <is>
          <t>12:00-24:00</t>
        </is>
      </c>
      <c r="K71" s="51" t="inlineStr">
        <is>
          <t>12:00-24:00</t>
        </is>
      </c>
      <c r="L71" s="51" t="inlineStr">
        <is>
          <t>12:00-24:00</t>
        </is>
      </c>
      <c r="M71" s="51" t="inlineStr">
        <is>
          <t>12:00-24:00</t>
        </is>
      </c>
      <c r="N71" s="51" t="inlineStr">
        <is>
          <t>12:00-24:00</t>
        </is>
      </c>
      <c r="O71" s="51" t="inlineStr">
        <is>
          <t>12:00-24:00</t>
        </is>
      </c>
      <c r="P71" s="51" t="inlineStr">
        <is>
          <t>12:00-24:00</t>
        </is>
      </c>
      <c r="Q71" s="58" t="n">
        <v>20</v>
      </c>
      <c r="R71" s="59" t="n">
        <v>0</v>
      </c>
      <c r="S71" s="53" t="inlineStr">
        <is>
          <t>ร้านชานมไข่มุกบนถนนบรรทัดทอง</t>
        </is>
      </c>
      <c r="T71" s="51" t="n"/>
      <c r="U71" s="58" t="inlineStr">
        <is>
          <t>N</t>
        </is>
      </c>
      <c r="V71" s="53" t="n"/>
      <c r="W71" s="53" t="n"/>
      <c r="X71" s="60" t="inlineStr">
        <is>
          <t>ร้านเครื่องดื่ม</t>
        </is>
      </c>
      <c r="Y71" s="61" t="inlineStr">
        <is>
          <t>บรรทัดทอง (ถ.บรรทัดทอง)</t>
        </is>
      </c>
      <c r="Z71" s="62" t="n">
        <v>0.66</v>
      </c>
      <c r="AA71" s="61" t="inlineStr">
        <is>
          <t>TEA PEARL</t>
        </is>
      </c>
      <c r="AB71" s="63" t="n">
        <v>80</v>
      </c>
      <c r="AC71" s="61" t="inlineStr">
        <is>
          <t>ชาไข่มุก</t>
        </is>
      </c>
      <c r="AD71" s="61" t="inlineStr">
        <is>
          <t>Google Maps (รายวัน)</t>
        </is>
      </c>
      <c r="AE71" s="61" t="inlineStr">
        <is>
          <t>ทุกวัน 12:00-24:00</t>
        </is>
      </c>
      <c r="AF71" s="61" t="inlineStr">
        <is>
          <t>ประมาณการจากประเภทร้าน/ทำเล (ยังไม่ยืนยัน)</t>
        </is>
      </c>
      <c r="AG71" s="63" t="n"/>
      <c r="AH71" s="61" t="inlineStr">
        <is>
          <t>1324 ถ.บรรทัดทอง วังใหม่ ปทุมวัน</t>
        </is>
      </c>
      <c r="AI71" s="61" t="inlineStr">
        <is>
          <t>+66 90 915 2199</t>
        </is>
      </c>
      <c r="AJ71" s="61" t="inlineStr">
        <is>
          <t>ChIJlZGKHACZ4jARL-eA4Ie6SwI</t>
        </is>
      </c>
      <c r="AK71" s="64" t="inlineStr">
        <is>
          <t>เปิดแผนที่ ↗</t>
        </is>
      </c>
    </row>
    <row r="72" ht="20" customHeight="1">
      <c r="A72" s="50" t="inlineStr">
        <is>
          <t>bangkok-restaurant-happy-house-cafe-banthat-thong</t>
        </is>
      </c>
      <c r="B72" s="51" t="inlineStr">
        <is>
          <t>restaurant</t>
        </is>
      </c>
      <c r="C72" s="52" t="inlineStr">
        <is>
          <t>Nokhook House Cafe</t>
        </is>
      </c>
      <c r="D72" s="53" t="inlineStr">
        <is>
          <t>บรรทัดทอง</t>
        </is>
      </c>
      <c r="E72" s="54" t="n">
        <v>13.7427638</v>
      </c>
      <c r="F72" s="55" t="n">
        <v>100.5227538</v>
      </c>
      <c r="G72" s="56" t="inlineStr">
        <is>
          <t>cafe</t>
        </is>
      </c>
      <c r="H72" s="51" t="n">
        <v>1</v>
      </c>
      <c r="I72" s="57" t="n">
        <v>4.3</v>
      </c>
      <c r="J72" s="58" t="inlineStr">
        <is>
          <t>09:00-26:00</t>
        </is>
      </c>
      <c r="K72" s="51" t="inlineStr">
        <is>
          <t>16:30-25:30</t>
        </is>
      </c>
      <c r="L72" s="51" t="inlineStr">
        <is>
          <t>16:30-25:30</t>
        </is>
      </c>
      <c r="M72" s="51" t="inlineStr">
        <is>
          <t>16:30-25:30</t>
        </is>
      </c>
      <c r="N72" s="51" t="inlineStr">
        <is>
          <t>16:30-26:00</t>
        </is>
      </c>
      <c r="O72" s="51" t="inlineStr">
        <is>
          <t>16:30-26:00</t>
        </is>
      </c>
      <c r="P72" s="51" t="inlineStr">
        <is>
          <t>16:30-26:00</t>
        </is>
      </c>
      <c r="Q72" s="58" t="n">
        <v>30</v>
      </c>
      <c r="R72" s="59" t="n">
        <v>0</v>
      </c>
      <c r="S72" s="53" t="inlineStr">
        <is>
          <t>ร้านชานมไข่มุก ไอศกรีมและของหวาน บนถนนบรรทัดทอง</t>
        </is>
      </c>
      <c r="T72" s="51" t="n"/>
      <c r="U72" s="58" t="inlineStr">
        <is>
          <t>N</t>
        </is>
      </c>
      <c r="V72" s="53" t="n"/>
      <c r="W72" s="53" t="inlineStr">
        <is>
          <t>ปิดหลังเที่ยงคืน เขียนเวลาปิดเกิน 24:00 ตามรูปแบบ ClockTime</t>
        </is>
      </c>
      <c r="X72" s="60" t="inlineStr">
        <is>
          <t>ร้านเครื่องดื่ม</t>
        </is>
      </c>
      <c r="Y72" s="61" t="inlineStr">
        <is>
          <t>บรรทัดทอง (ถ.บรรทัดทอง)</t>
        </is>
      </c>
      <c r="Z72" s="62" t="n">
        <v>0.43</v>
      </c>
      <c r="AA72" s="61" t="inlineStr">
        <is>
          <t>แฮปปี้ เฮาส์ คาเฟ่ สาขาบรรทัดทอง (Happy House cafe)</t>
        </is>
      </c>
      <c r="AB72" s="63" t="n">
        <v>188</v>
      </c>
      <c r="AC72" s="61" t="inlineStr">
        <is>
          <t>ชาไข่มุก, ร้านขนม, ร้านขนมหวาน, ร้านไอศกรีม, ร้านไอศกรีมซันเด</t>
        </is>
      </c>
      <c r="AD72" s="61" t="inlineStr">
        <is>
          <t>Google Maps (รายวัน)</t>
        </is>
      </c>
      <c r="AE72" s="61" t="inlineStr">
        <is>
          <t>จ 09:00-02:00 / อ-พฤ 16:30-01:30 / ศ-อา 16:30-02:00</t>
        </is>
      </c>
      <c r="AF72" s="61" t="inlineStr">
        <is>
          <t>ประมาณการจากประเภทร้าน/ทำเล (ยังไม่ยืนยัน)</t>
        </is>
      </c>
      <c r="AG72" s="63" t="n"/>
      <c r="AH72" s="61" t="inlineStr">
        <is>
          <t>1444 ถ.บรรทัดทอง วังใหม่ ปทุมวัน</t>
        </is>
      </c>
      <c r="AI72" s="61" t="inlineStr">
        <is>
          <t>+66 97 424 2363</t>
        </is>
      </c>
      <c r="AJ72" s="61" t="inlineStr">
        <is>
          <t>ChIJ5UstNruZ4jAR8IvFsMS0bH8</t>
        </is>
      </c>
      <c r="AK72" s="64" t="inlineStr">
        <is>
          <t>เปิดแผนที่ ↗</t>
        </is>
      </c>
    </row>
    <row r="73" ht="20" customHeight="1">
      <c r="A73" s="50" t="inlineStr">
        <is>
          <t>bangkok-restaurant-bingbun</t>
        </is>
      </c>
      <c r="B73" s="51" t="inlineStr">
        <is>
          <t>restaurant</t>
        </is>
      </c>
      <c r="C73" s="52" t="inlineStr">
        <is>
          <t>Bingbun</t>
        </is>
      </c>
      <c r="D73" s="53" t="inlineStr">
        <is>
          <t>บรรทัดทอง</t>
        </is>
      </c>
      <c r="E73" s="54" t="n">
        <v>13.7409018</v>
      </c>
      <c r="F73" s="55" t="n">
        <v>100.5224035</v>
      </c>
      <c r="G73" s="56" t="inlineStr">
        <is>
          <t>cafe</t>
        </is>
      </c>
      <c r="H73" s="51" t="n">
        <v>1</v>
      </c>
      <c r="I73" s="57" t="n">
        <v>4.5</v>
      </c>
      <c r="J73" s="58" t="inlineStr">
        <is>
          <t>16:00-24:00</t>
        </is>
      </c>
      <c r="K73" s="51" t="inlineStr">
        <is>
          <t>16:00-24:00</t>
        </is>
      </c>
      <c r="L73" s="51" t="inlineStr">
        <is>
          <t>16:00-24:00</t>
        </is>
      </c>
      <c r="M73" s="51" t="inlineStr">
        <is>
          <t>16:00-24:00</t>
        </is>
      </c>
      <c r="N73" s="51" t="inlineStr">
        <is>
          <t>16:00-24:00</t>
        </is>
      </c>
      <c r="O73" s="51" t="inlineStr">
        <is>
          <t>16:00-24:00</t>
        </is>
      </c>
      <c r="P73" s="51" t="inlineStr">
        <is>
          <t>16:00-24:00</t>
        </is>
      </c>
      <c r="Q73" s="58" t="n">
        <v>30</v>
      </c>
      <c r="R73" s="59" t="n">
        <v>0</v>
      </c>
      <c r="S73" s="53" t="inlineStr">
        <is>
          <t>ร้านบิงซูและไอศกรีมบนถนนบรรทัดทอง</t>
        </is>
      </c>
      <c r="T73" s="51" t="n"/>
      <c r="U73" s="58" t="inlineStr">
        <is>
          <t>N</t>
        </is>
      </c>
      <c r="V73" s="53" t="n"/>
      <c r="W73" s="53" t="n"/>
      <c r="X73" s="60" t="inlineStr">
        <is>
          <t>ร้านของหวาน</t>
        </is>
      </c>
      <c r="Y73" s="61" t="inlineStr">
        <is>
          <t>บรรทัดทอง (ถ.บรรทัดทอง)</t>
        </is>
      </c>
      <c r="Z73" s="62" t="n">
        <v>0.28</v>
      </c>
      <c r="AA73" s="61" t="inlineStr">
        <is>
          <t>บิงบัน</t>
        </is>
      </c>
      <c r="AB73" s="63" t="n">
        <v>187</v>
      </c>
      <c r="AC73" s="61" t="inlineStr">
        <is>
          <t>ร้านขนมหวาน, ร้านไอศกรีม</t>
        </is>
      </c>
      <c r="AD73" s="61" t="inlineStr">
        <is>
          <t>Google Maps (รายวัน)</t>
        </is>
      </c>
      <c r="AE73" s="61" t="inlineStr">
        <is>
          <t>ทุกวัน 16:00-24:00</t>
        </is>
      </c>
      <c r="AF73" s="61" t="inlineStr">
        <is>
          <t>ประมาณการจากประเภทร้าน/ทำเล (ยังไม่ยืนยัน)</t>
        </is>
      </c>
      <c r="AG73" s="63" t="n"/>
      <c r="AH73" s="61" t="inlineStr">
        <is>
          <t>1638 ถ.บรรทัดทอง วังใหม่ ปทุมวัน</t>
        </is>
      </c>
      <c r="AI73" s="61" t="n"/>
      <c r="AJ73" s="61" t="inlineStr">
        <is>
          <t>ChIJx-0SOgCZ4jARpHRMxuLkE88</t>
        </is>
      </c>
      <c r="AK73" s="64" t="inlineStr">
        <is>
          <t>เปิดแผนที่ ↗</t>
        </is>
      </c>
    </row>
    <row r="74" ht="20" customHeight="1">
      <c r="A74" s="50" t="inlineStr">
        <is>
          <t>bangkok-restaurant-jae-wan-dessert</t>
        </is>
      </c>
      <c r="B74" s="51" t="inlineStr">
        <is>
          <t>restaurant</t>
        </is>
      </c>
      <c r="C74" s="52" t="inlineStr">
        <is>
          <t>Jae Wan (เจ๊แวน)</t>
        </is>
      </c>
      <c r="D74" s="53" t="inlineStr">
        <is>
          <t>บรรทัดทอง</t>
        </is>
      </c>
      <c r="E74" s="54" t="n">
        <v>13.7396492</v>
      </c>
      <c r="F74" s="55" t="n">
        <v>100.5222225</v>
      </c>
      <c r="G74" s="56" t="inlineStr">
        <is>
          <t>localFood</t>
        </is>
      </c>
      <c r="H74" s="51" t="n">
        <v>1</v>
      </c>
      <c r="I74" s="57" t="n">
        <v>4.2</v>
      </c>
      <c r="J74" s="58" t="inlineStr">
        <is>
          <t>13:45-23:30</t>
        </is>
      </c>
      <c r="K74" s="51" t="inlineStr">
        <is>
          <t>13:45-23:30</t>
        </is>
      </c>
      <c r="L74" s="51" t="inlineStr">
        <is>
          <t>13:45-23:30</t>
        </is>
      </c>
      <c r="M74" s="51" t="inlineStr">
        <is>
          <t>13:45-23:30</t>
        </is>
      </c>
      <c r="N74" s="51" t="inlineStr">
        <is>
          <t>13:45-23:30</t>
        </is>
      </c>
      <c r="O74" s="51" t="inlineStr">
        <is>
          <t>13:45-23:30</t>
        </is>
      </c>
      <c r="P74" s="51" t="inlineStr">
        <is>
          <t>13:30-23:30</t>
        </is>
      </c>
      <c r="Q74" s="58" t="n">
        <v>30</v>
      </c>
      <c r="R74" s="59" t="n">
        <v>0</v>
      </c>
      <c r="S74" s="53" t="inlineStr">
        <is>
          <t>ร้านขนมหวานไทยบนถนนบรรทัดทอง</t>
        </is>
      </c>
      <c r="T74" s="51" t="n"/>
      <c r="U74" s="58" t="inlineStr">
        <is>
          <t>N</t>
        </is>
      </c>
      <c r="V74" s="53" t="n"/>
      <c r="W74" s="53" t="n"/>
      <c r="X74" s="60" t="inlineStr">
        <is>
          <t>ร้านของหวาน</t>
        </is>
      </c>
      <c r="Y74" s="61" t="inlineStr">
        <is>
          <t>บรรทัดทอง (ถ.บรรทัดทอง)</t>
        </is>
      </c>
      <c r="Z74" s="62" t="n">
        <v>0.23</v>
      </c>
      <c r="AA74" s="61" t="inlineStr">
        <is>
          <t>เจ้วรรณ ขนมหวาน</t>
        </is>
      </c>
      <c r="AB74" s="63" t="n">
        <v>2413</v>
      </c>
      <c r="AC74" s="61" t="inlineStr">
        <is>
          <t>ร้านของหวาน</t>
        </is>
      </c>
      <c r="AD74" s="61" t="inlineStr">
        <is>
          <t>Google Maps (รายวัน)</t>
        </is>
      </c>
      <c r="AE74" s="61" t="inlineStr">
        <is>
          <t>ทุกวัน 13:45-23:30 (อาทิตย์ 13:30)</t>
        </is>
      </c>
      <c r="AF74" s="61" t="inlineStr">
        <is>
          <t>ประมาณการจากประเภทร้าน/ทำเล (ยังไม่ยืนยัน)</t>
        </is>
      </c>
      <c r="AG74" s="63" t="n"/>
      <c r="AH74" s="61" t="inlineStr">
        <is>
          <t>1700 ถ.บรรทัดทอง รองเมือง ปทุมวัน</t>
        </is>
      </c>
      <c r="AI74" s="61" t="inlineStr">
        <is>
          <t>+66 81 421 3761</t>
        </is>
      </c>
      <c r="AJ74" s="61" t="inlineStr">
        <is>
          <t>ChIJFzK8PimZ4jARnkqwKGrzLts</t>
        </is>
      </c>
      <c r="AK74" s="64" t="inlineStr">
        <is>
          <t>เปิดแผนที่ ↗</t>
        </is>
      </c>
    </row>
    <row r="75" ht="20" customHeight="1">
      <c r="A75" s="50" t="inlineStr">
        <is>
          <t>bangkok-restaurant-kaew-kla-thai-dessert</t>
        </is>
      </c>
      <c r="B75" s="51" t="inlineStr">
        <is>
          <t>restaurant</t>
        </is>
      </c>
      <c r="C75" s="52" t="inlineStr">
        <is>
          <t>แก้วกล้า ขนมหวานกะทิสด (KK Thai Dessert)</t>
        </is>
      </c>
      <c r="D75" s="53" t="inlineStr">
        <is>
          <t>บรรทัดทอง</t>
        </is>
      </c>
      <c r="E75" s="54" t="n">
        <v>13.7391137</v>
      </c>
      <c r="F75" s="55" t="n">
        <v>100.5220825</v>
      </c>
      <c r="G75" s="56" t="inlineStr">
        <is>
          <t>localFood</t>
        </is>
      </c>
      <c r="H75" s="51" t="n">
        <v>1</v>
      </c>
      <c r="I75" s="57" t="n">
        <v>4.4</v>
      </c>
      <c r="J75" s="58" t="inlineStr">
        <is>
          <t>12:00-27:00</t>
        </is>
      </c>
      <c r="K75" s="51" t="inlineStr">
        <is>
          <t>12:00-27:00</t>
        </is>
      </c>
      <c r="L75" s="51" t="inlineStr">
        <is>
          <t>12:00-27:00</t>
        </is>
      </c>
      <c r="M75" s="51" t="inlineStr">
        <is>
          <t>12:00-27:00</t>
        </is>
      </c>
      <c r="N75" s="51" t="inlineStr">
        <is>
          <t>12:00-27:00</t>
        </is>
      </c>
      <c r="O75" s="51" t="inlineStr">
        <is>
          <t>12:00-27:00</t>
        </is>
      </c>
      <c r="P75" s="51" t="inlineStr">
        <is>
          <t>12:00-27:00</t>
        </is>
      </c>
      <c r="Q75" s="58" t="n">
        <v>30</v>
      </c>
      <c r="R75" s="59" t="n">
        <v>0</v>
      </c>
      <c r="S75" s="53" t="inlineStr">
        <is>
          <t>ร้านขนมหวานกะทิสดบนถนนบรรทัดทอง</t>
        </is>
      </c>
      <c r="T75" s="51" t="n"/>
      <c r="U75" s="58" t="inlineStr">
        <is>
          <t>N</t>
        </is>
      </c>
      <c r="V75" s="53" t="n"/>
      <c r="W75" s="53" t="inlineStr">
        <is>
          <t>ปิดหลังเที่ยงคืน เขียนเวลาปิดเกิน 24:00 ตามรูปแบบ ClockTime</t>
        </is>
      </c>
      <c r="X75" s="60" t="inlineStr">
        <is>
          <t>ร้านของหวาน</t>
        </is>
      </c>
      <c r="Y75" s="61" t="inlineStr">
        <is>
          <t>บรรทัดทอง (ถ.บรรทัดทอง)</t>
        </is>
      </c>
      <c r="Z75" s="62" t="n">
        <v>0.24</v>
      </c>
      <c r="AA75" s="61" t="inlineStr">
        <is>
          <t>แก้วกล้า ขนมหวานกะทิสด</t>
        </is>
      </c>
      <c r="AB75" s="63" t="n">
        <v>124</v>
      </c>
      <c r="AC75" s="61" t="inlineStr">
        <is>
          <t>ร้านขนมหวาน</t>
        </is>
      </c>
      <c r="AD75" s="61" t="inlineStr">
        <is>
          <t>Google Maps (รายวัน)</t>
        </is>
      </c>
      <c r="AE75" s="61" t="inlineStr">
        <is>
          <t>ทุกวัน 12:00-03:00</t>
        </is>
      </c>
      <c r="AF75" s="61" t="inlineStr">
        <is>
          <t>ประมาณการจากประเภทร้าน/ทำเล (ยังไม่ยืนยัน)</t>
        </is>
      </c>
      <c r="AG75" s="63" t="n"/>
      <c r="AH75" s="61" t="inlineStr">
        <is>
          <t>1786 ถ.บรรทัดทอง วังใหม่ ปทุมวัน</t>
        </is>
      </c>
      <c r="AI75" s="61" t="inlineStr">
        <is>
          <t>+66 61 878 7855</t>
        </is>
      </c>
      <c r="AJ75" s="61" t="inlineStr">
        <is>
          <t>ChIJ3Zne-SeZ4jARToMmi_3aK_s</t>
        </is>
      </c>
      <c r="AK75" s="64" t="inlineStr">
        <is>
          <t>เปิดแผนที่ ↗</t>
        </is>
      </c>
    </row>
    <row r="76" ht="20" customHeight="1">
      <c r="A76" s="50" t="inlineStr">
        <is>
          <t>bangkok-restaurant-hagow-yaowarat</t>
        </is>
      </c>
      <c r="B76" s="51" t="inlineStr">
        <is>
          <t>restaurant</t>
        </is>
      </c>
      <c r="C76" s="52" t="inlineStr">
        <is>
          <t>HAGOW Yaowarat</t>
        </is>
      </c>
      <c r="D76" s="53" t="inlineStr">
        <is>
          <t>เยาวราช</t>
        </is>
      </c>
      <c r="E76" s="54" t="n">
        <v>13.7407445</v>
      </c>
      <c r="F76" s="55" t="n">
        <v>100.5093962</v>
      </c>
      <c r="G76" s="56" t="inlineStr">
        <is>
          <t>localFood</t>
        </is>
      </c>
      <c r="H76" s="51" t="n">
        <v>2</v>
      </c>
      <c r="I76" s="57" t="n">
        <v>4.7</v>
      </c>
      <c r="J76" s="58" t="inlineStr">
        <is>
          <t>11:00-21:30</t>
        </is>
      </c>
      <c r="K76" s="51" t="inlineStr">
        <is>
          <t>11:00-21:30</t>
        </is>
      </c>
      <c r="L76" s="51" t="inlineStr">
        <is>
          <t>11:00-21:30</t>
        </is>
      </c>
      <c r="M76" s="51" t="inlineStr">
        <is>
          <t>11:00-21:30</t>
        </is>
      </c>
      <c r="N76" s="51" t="inlineStr">
        <is>
          <t>11:00-21:30</t>
        </is>
      </c>
      <c r="O76" s="51" t="inlineStr">
        <is>
          <t>11:00-21:30</t>
        </is>
      </c>
      <c r="P76" s="51" t="inlineStr">
        <is>
          <t>11:00-21:30</t>
        </is>
      </c>
      <c r="Q76" s="58" t="n">
        <v>45</v>
      </c>
      <c r="R76" s="59" t="n">
        <v>0</v>
      </c>
      <c r="S76" s="53" t="inlineStr">
        <is>
          <t>ร้านติ่มซำบนถนนเยาวราช</t>
        </is>
      </c>
      <c r="T76" s="51" t="n"/>
      <c r="U76" s="58" t="inlineStr">
        <is>
          <t>Y</t>
        </is>
      </c>
      <c r="V76" s="53" t="n"/>
      <c r="W76" s="53" t="n"/>
      <c r="X76" s="60" t="inlineStr">
        <is>
          <t>ร้านอาหาร</t>
        </is>
      </c>
      <c r="Y76" s="61" t="inlineStr">
        <is>
          <t>เยาวราช</t>
        </is>
      </c>
      <c r="Z76" s="62" t="n">
        <v>0.13</v>
      </c>
      <c r="AA76" s="61" t="inlineStr">
        <is>
          <t>ฮะเก๋า เยาวราช</t>
        </is>
      </c>
      <c r="AB76" s="63" t="n">
        <v>3528</v>
      </c>
      <c r="AC76" s="61" t="inlineStr">
        <is>
          <t>ภัตตาคารอาหารจีน</t>
        </is>
      </c>
      <c r="AD76" s="61" t="inlineStr">
        <is>
          <t>Google Maps (รายวัน)</t>
        </is>
      </c>
      <c r="AE76" s="61" t="inlineStr">
        <is>
          <t>ทุกวัน 11:00-21:30 (เสาร์)</t>
        </is>
      </c>
      <c r="AF76" s="61" t="inlineStr">
        <is>
          <t>ประมาณการจากประเภทร้าน/ทำเล (ยังไม่ยืนยัน)</t>
        </is>
      </c>
      <c r="AG76" s="63" t="n"/>
      <c r="AH76" s="61" t="inlineStr">
        <is>
          <t>387 ถ.เยาวราช สัมพันธวงศ์</t>
        </is>
      </c>
      <c r="AI76" s="61" t="inlineStr">
        <is>
          <t>+66 63 956 2752</t>
        </is>
      </c>
      <c r="AJ76" s="61" t="inlineStr">
        <is>
          <t>ChIJg_OawsSZ4jARhar1F01_csQ</t>
        </is>
      </c>
      <c r="AK76" s="64" t="inlineStr">
        <is>
          <t>เปิดแผนที่ ↗</t>
        </is>
      </c>
    </row>
    <row r="77" ht="20" customHeight="1">
      <c r="A77" s="50" t="inlineStr">
        <is>
          <t>bangkok-restaurant-laoteng-yaowarat</t>
        </is>
      </c>
      <c r="B77" s="51" t="inlineStr">
        <is>
          <t>restaurant</t>
        </is>
      </c>
      <c r="C77" s="52" t="inlineStr">
        <is>
          <t>Laoteng (เล่าเต็ง)</t>
        </is>
      </c>
      <c r="D77" s="53" t="inlineStr">
        <is>
          <t>เยาวราช</t>
        </is>
      </c>
      <c r="E77" s="54" t="n">
        <v>13.7402038</v>
      </c>
      <c r="F77" s="55" t="n">
        <v>100.5099084</v>
      </c>
      <c r="G77" s="56" t="inlineStr">
        <is>
          <t>localFood</t>
        </is>
      </c>
      <c r="H77" s="51" t="n">
        <v>2</v>
      </c>
      <c r="I77" s="57" t="n">
        <v>4.6</v>
      </c>
      <c r="J77" s="58" t="inlineStr">
        <is>
          <t>11:00-24:00</t>
        </is>
      </c>
      <c r="K77" s="51" t="inlineStr">
        <is>
          <t>11:00-24:00</t>
        </is>
      </c>
      <c r="L77" s="51" t="inlineStr">
        <is>
          <t>11:00-24:00</t>
        </is>
      </c>
      <c r="M77" s="51" t="inlineStr">
        <is>
          <t>11:00-24:00</t>
        </is>
      </c>
      <c r="N77" s="51" t="inlineStr">
        <is>
          <t>11:00-24:00</t>
        </is>
      </c>
      <c r="O77" s="51" t="inlineStr">
        <is>
          <t>11:00-24:00</t>
        </is>
      </c>
      <c r="P77" s="51" t="inlineStr">
        <is>
          <t>11:00-24:00</t>
        </is>
      </c>
      <c r="Q77" s="58" t="n">
        <v>60</v>
      </c>
      <c r="R77" s="59" t="n">
        <v>0</v>
      </c>
      <c r="S77" s="53" t="inlineStr">
        <is>
          <t>ร้านอาหารจีนชั้น 2 บนถนนเยาวราช</t>
        </is>
      </c>
      <c r="T77" s="51" t="n"/>
      <c r="U77" s="58" t="inlineStr">
        <is>
          <t>Y</t>
        </is>
      </c>
      <c r="V77" s="53" t="n"/>
      <c r="W77" s="53" t="n"/>
      <c r="X77" s="60" t="inlineStr">
        <is>
          <t>ร้านอาหาร</t>
        </is>
      </c>
      <c r="Y77" s="61" t="inlineStr">
        <is>
          <t>เยาวราช</t>
        </is>
      </c>
      <c r="Z77" s="62" t="n">
        <v>0.06</v>
      </c>
      <c r="AA77" s="61" t="inlineStr">
        <is>
          <t>เหล่าเต๊ง</t>
        </is>
      </c>
      <c r="AB77" s="63" t="n">
        <v>2752</v>
      </c>
      <c r="AC77" s="61" t="inlineStr">
        <is>
          <t>ภัตตาคารอาหารจีน, ร้านอาหารจีนแบบมีบริการจัดส่ง</t>
        </is>
      </c>
      <c r="AD77" s="61" t="inlineStr">
        <is>
          <t>Google Maps (รายวัน)</t>
        </is>
      </c>
      <c r="AE77" s="61" t="inlineStr">
        <is>
          <t>ทุกวัน 11:00-24:00 (เสาร์)</t>
        </is>
      </c>
      <c r="AF77" s="61" t="inlineStr">
        <is>
          <t>ประมาณการจากประเภทร้าน/ทำเล (ยังไม่ยืนยัน)</t>
        </is>
      </c>
      <c r="AG77" s="63" t="n"/>
      <c r="AH77" s="61" t="inlineStr">
        <is>
          <t>438 ชั้น 2 ถ.เยาวราช สัมพันธวงศ์</t>
        </is>
      </c>
      <c r="AI77" s="61" t="inlineStr">
        <is>
          <t>+66 96 245 4242</t>
        </is>
      </c>
      <c r="AJ77" s="61" t="inlineStr">
        <is>
          <t>ChIJJ03QjGOZ4jARdUW-bCQ2u2s</t>
        </is>
      </c>
      <c r="AK77" s="64" t="inlineStr">
        <is>
          <t>เปิดแผนที่ ↗</t>
        </is>
      </c>
    </row>
    <row r="78" ht="20" customHeight="1">
      <c r="A78" s="50" t="inlineStr">
        <is>
          <t>bangkok-restaurant-xie-chinatown</t>
        </is>
      </c>
      <c r="B78" s="51" t="inlineStr">
        <is>
          <t>restaurant</t>
        </is>
      </c>
      <c r="C78" s="52" t="inlineStr">
        <is>
          <t>Xie Chinatown</t>
        </is>
      </c>
      <c r="D78" s="53" t="inlineStr">
        <is>
          <t>เยาวราช</t>
        </is>
      </c>
      <c r="E78" s="54" t="n">
        <v>13.7401294</v>
      </c>
      <c r="F78" s="55" t="n">
        <v>100.5100794</v>
      </c>
      <c r="G78" s="56" t="inlineStr">
        <is>
          <t>localFood</t>
        </is>
      </c>
      <c r="H78" s="51" t="n">
        <v>2</v>
      </c>
      <c r="I78" s="57" t="n">
        <v>4.7</v>
      </c>
      <c r="J78" s="58" t="inlineStr">
        <is>
          <t>15:30-24:30</t>
        </is>
      </c>
      <c r="K78" s="51" t="inlineStr">
        <is>
          <t>15:30-24:30</t>
        </is>
      </c>
      <c r="L78" s="51" t="inlineStr">
        <is>
          <t>15:30-24:30</t>
        </is>
      </c>
      <c r="M78" s="51" t="inlineStr">
        <is>
          <t>15:30-24:30</t>
        </is>
      </c>
      <c r="N78" s="51" t="inlineStr">
        <is>
          <t>15:30-24:30</t>
        </is>
      </c>
      <c r="O78" s="51" t="inlineStr">
        <is>
          <t>15:30-24:30</t>
        </is>
      </c>
      <c r="P78" s="51" t="inlineStr">
        <is>
          <t>15:30-24:30</t>
        </is>
      </c>
      <c r="Q78" s="58" t="n">
        <v>45</v>
      </c>
      <c r="R78" s="59" t="n">
        <v>0</v>
      </c>
      <c r="S78" s="53" t="inlineStr">
        <is>
          <t>ร้านบะหมี่และอาหารจีนบนถนนเยาวราช เปิดถึงดึก</t>
        </is>
      </c>
      <c r="T78" s="51" t="n"/>
      <c r="U78" s="58" t="inlineStr">
        <is>
          <t>Y</t>
        </is>
      </c>
      <c r="V78" s="53" t="n"/>
      <c r="W78" s="53" t="inlineStr">
        <is>
          <t>ปิดหลังเที่ยงคืน เขียนเวลาปิดเกิน 24:00 ตามรูปแบบ ClockTime</t>
        </is>
      </c>
      <c r="X78" s="60" t="inlineStr">
        <is>
          <t>ร้านอาหาร</t>
        </is>
      </c>
      <c r="Y78" s="61" t="inlineStr">
        <is>
          <t>เยาวราช</t>
        </is>
      </c>
      <c r="Z78" s="62" t="n">
        <v>0.05</v>
      </c>
      <c r="AA78" s="61" t="inlineStr">
        <is>
          <t>เซี้ยไชน่าทาวน์</t>
        </is>
      </c>
      <c r="AB78" s="63" t="n">
        <v>934</v>
      </c>
      <c r="AC78" s="61" t="inlineStr">
        <is>
          <t>ร้านบะหมี่จีน, ภัตตาคารอาหารจีน</t>
        </is>
      </c>
      <c r="AD78" s="61" t="inlineStr">
        <is>
          <t>Google Maps (รายวัน)</t>
        </is>
      </c>
      <c r="AE78" s="61" t="inlineStr">
        <is>
          <t>ทุกวัน 15:30-00:30 (เสาร์)</t>
        </is>
      </c>
      <c r="AF78" s="61" t="inlineStr">
        <is>
          <t>ประมาณการจากประเภทร้าน/ทำเล (ยังไม่ยืนยัน)</t>
        </is>
      </c>
      <c r="AG78" s="63" t="n"/>
      <c r="AH78" s="61" t="inlineStr">
        <is>
          <t>446 ถ.เยาวราช สัมพันธวงศ์</t>
        </is>
      </c>
      <c r="AI78" s="61" t="inlineStr">
        <is>
          <t>+66 96 915 6659</t>
        </is>
      </c>
      <c r="AJ78" s="61" t="inlineStr">
        <is>
          <t>ChIJqcfmnCGZ4jARBiLzwaax2hQ</t>
        </is>
      </c>
      <c r="AK78" s="64" t="inlineStr">
        <is>
          <t>เปิดแผนที่ ↗</t>
        </is>
      </c>
    </row>
    <row r="79" ht="20" customHeight="1">
      <c r="A79" s="50" t="inlineStr">
        <is>
          <t>bangkok-restaurant-double-dogs-tearoom</t>
        </is>
      </c>
      <c r="B79" s="51" t="inlineStr">
        <is>
          <t>restaurant</t>
        </is>
      </c>
      <c r="C79" s="52" t="inlineStr">
        <is>
          <t>Double Dogs Tearoom</t>
        </is>
      </c>
      <c r="D79" s="53" t="inlineStr">
        <is>
          <t>เยาวราช</t>
        </is>
      </c>
      <c r="E79" s="54" t="n">
        <v>13.7406307</v>
      </c>
      <c r="F79" s="55" t="n">
        <v>100.509181</v>
      </c>
      <c r="G79" s="56" t="inlineStr">
        <is>
          <t>cafe,artCulture</t>
        </is>
      </c>
      <c r="H79" s="51" t="n">
        <v>2</v>
      </c>
      <c r="I79" s="57" t="n">
        <v>4.5</v>
      </c>
      <c r="J79" s="58" t="inlineStr">
        <is>
          <t>11:00-18:00</t>
        </is>
      </c>
      <c r="K79" s="51" t="n"/>
      <c r="L79" s="51" t="n"/>
      <c r="M79" s="51" t="inlineStr">
        <is>
          <t>11:00-18:00</t>
        </is>
      </c>
      <c r="N79" s="51" t="inlineStr">
        <is>
          <t>11:00-18:00</t>
        </is>
      </c>
      <c r="O79" s="51" t="inlineStr">
        <is>
          <t>11:00-18:00</t>
        </is>
      </c>
      <c r="P79" s="51" t="inlineStr">
        <is>
          <t>11:00-18:00</t>
        </is>
      </c>
      <c r="Q79" s="58" t="n">
        <v>45</v>
      </c>
      <c r="R79" s="59" t="n">
        <v>0</v>
      </c>
      <c r="S79" s="53" t="inlineStr">
        <is>
          <t>ร้านน้ำชาจีนบนถนนเยาวราช มีมุมแสดงงานศิลปะ</t>
        </is>
      </c>
      <c r="T79" s="51" t="n"/>
      <c r="U79" s="58" t="inlineStr">
        <is>
          <t>N</t>
        </is>
      </c>
      <c r="V79" s="53" t="n"/>
      <c r="W79" s="53" t="n"/>
      <c r="X79" s="60" t="inlineStr">
        <is>
          <t>ร้านเครื่องดื่ม</t>
        </is>
      </c>
      <c r="Y79" s="61" t="inlineStr">
        <is>
          <t>เยาวราช</t>
        </is>
      </c>
      <c r="Z79" s="62" t="n">
        <v>0.13</v>
      </c>
      <c r="AA79" s="61" t="inlineStr">
        <is>
          <t>Double Dogs Tea Room</t>
        </is>
      </c>
      <c r="AB79" s="63" t="n">
        <v>361</v>
      </c>
      <c r="AC79" s="61" t="inlineStr">
        <is>
          <t>ร้านน้ำชาแบบดั้งเดิม, ห้องแสดงงานศิลปะ, ร้านเครื่องปั้นดินเผา, ร้านใบชา</t>
        </is>
      </c>
      <c r="AD79" s="61" t="inlineStr">
        <is>
          <t>Google Maps (รายวัน)</t>
        </is>
      </c>
      <c r="AE79" s="61" t="inlineStr">
        <is>
          <t>พฤ-จ 11:00-18:00 (ปิดอังคาร-พุธ)</t>
        </is>
      </c>
      <c r="AF79" s="61" t="inlineStr">
        <is>
          <t>ประมาณการจากประเภทร้าน/ทำเล (ยังไม่ยืนยัน)</t>
        </is>
      </c>
      <c r="AG79" s="63" t="n"/>
      <c r="AH79" s="61" t="inlineStr">
        <is>
          <t>406 ถ.เยาวราช จักรวรรดิ สัมพันธวงศ์</t>
        </is>
      </c>
      <c r="AI79" s="61" t="inlineStr">
        <is>
          <t>+66 86 329 3075</t>
        </is>
      </c>
      <c r="AJ79" s="61" t="inlineStr">
        <is>
          <t>ChIJH79CmBiZ4jARMdjLCASWygc</t>
        </is>
      </c>
      <c r="AK79" s="64" t="inlineStr">
        <is>
          <t>เปิดแผนที่ ↗</t>
        </is>
      </c>
    </row>
    <row r="80" ht="20" customHeight="1">
      <c r="A80" s="50" t="inlineStr">
        <is>
          <t>bangkok-restaurant-siam-heng-huat-tea-shop</t>
        </is>
      </c>
      <c r="B80" s="51" t="inlineStr">
        <is>
          <t>restaurant</t>
        </is>
      </c>
      <c r="C80" s="52" t="inlineStr">
        <is>
          <t>Siam Heng Huat Bai Cha Shop (สยามเฮงฮวด)</t>
        </is>
      </c>
      <c r="D80" s="53" t="inlineStr">
        <is>
          <t>เยาวราช</t>
        </is>
      </c>
      <c r="E80" s="54" t="n">
        <v>13.7411144</v>
      </c>
      <c r="F80" s="55" t="n">
        <v>100.509889</v>
      </c>
      <c r="G80" s="56" t="inlineStr">
        <is>
          <t>cafe,localFood</t>
        </is>
      </c>
      <c r="H80" s="51" t="n">
        <v>1</v>
      </c>
      <c r="I80" s="57" t="n">
        <v>4.9</v>
      </c>
      <c r="J80" s="58" t="inlineStr">
        <is>
          <t>09:00-21:00</t>
        </is>
      </c>
      <c r="K80" s="51" t="inlineStr">
        <is>
          <t>09:00-21:00</t>
        </is>
      </c>
      <c r="L80" s="51" t="inlineStr">
        <is>
          <t>09:00-21:00</t>
        </is>
      </c>
      <c r="M80" s="51" t="inlineStr">
        <is>
          <t>09:00-21:00</t>
        </is>
      </c>
      <c r="N80" s="51" t="inlineStr">
        <is>
          <t>09:00-21:00</t>
        </is>
      </c>
      <c r="O80" s="51" t="inlineStr">
        <is>
          <t>09:00-21:00</t>
        </is>
      </c>
      <c r="P80" s="51" t="inlineStr">
        <is>
          <t>09:00-21:00</t>
        </is>
      </c>
      <c r="Q80" s="58" t="n">
        <v>30</v>
      </c>
      <c r="R80" s="59" t="n">
        <v>0</v>
      </c>
      <c r="S80" s="53" t="inlineStr">
        <is>
          <t>ร้านใบชาและโรงน้ำชาจีนบนถนนแปลงนาม ย่านเยาวราช</t>
        </is>
      </c>
      <c r="T80" s="51" t="n"/>
      <c r="U80" s="58" t="inlineStr">
        <is>
          <t>N</t>
        </is>
      </c>
      <c r="V80" s="53" t="n"/>
      <c r="W80" s="53" t="n"/>
      <c r="X80" s="60" t="inlineStr">
        <is>
          <t>ร้านเครื่องดื่ม</t>
        </is>
      </c>
      <c r="Y80" s="61" t="inlineStr">
        <is>
          <t>เยาวราช</t>
        </is>
      </c>
      <c r="Z80" s="62" t="n">
        <v>0.16</v>
      </c>
      <c r="AA80" s="61" t="inlineStr">
        <is>
          <t>ร้านใบชาเซียมเฮงฮวด</t>
        </is>
      </c>
      <c r="AB80" s="63" t="n">
        <v>457</v>
      </c>
      <c r="AC80" s="61" t="inlineStr">
        <is>
          <t>ร้านใบชา, โรงน้ำชาจีน, ร้านน้ำชา, ผู้ค้าส่งชา</t>
        </is>
      </c>
      <c r="AD80" s="61" t="inlineStr">
        <is>
          <t>Google Maps (รายวัน)</t>
        </is>
      </c>
      <c r="AE80" s="61" t="inlineStr">
        <is>
          <t>ทุกวัน 09:00-21:00 (เสาร์)</t>
        </is>
      </c>
      <c r="AF80" s="61" t="inlineStr">
        <is>
          <t>ประมาณการจากประเภทร้าน/ทำเล (ยังไม่ยืนยัน)</t>
        </is>
      </c>
      <c r="AG80" s="63" t="n"/>
      <c r="AH80" s="61" t="inlineStr">
        <is>
          <t>36-42 ถ.แปลงนาม สัมพันธวงศ์</t>
        </is>
      </c>
      <c r="AI80" s="61" t="inlineStr">
        <is>
          <t>+66 63 457 7308</t>
        </is>
      </c>
      <c r="AJ80" s="61" t="inlineStr">
        <is>
          <t>ChIJCcEDgCGZ4jARv0rIMlI8o8g</t>
        </is>
      </c>
      <c r="AK80" s="64" t="inlineStr">
        <is>
          <t>เปิดแผนที่ ↗</t>
        </is>
      </c>
    </row>
    <row r="81" ht="20" customHeight="1">
      <c r="A81" s="50" t="inlineStr">
        <is>
          <t>bangkok-restaurant-three-tea-pots-ew-kee</t>
        </is>
      </c>
      <c r="B81" s="51" t="inlineStr">
        <is>
          <t>restaurant</t>
        </is>
      </c>
      <c r="C81" s="52" t="inlineStr">
        <is>
          <t>THREE TEA POTS by Ew Kee Tea</t>
        </is>
      </c>
      <c r="D81" s="53" t="inlineStr">
        <is>
          <t>เยาวราช</t>
        </is>
      </c>
      <c r="E81" s="54" t="n">
        <v>13.742526</v>
      </c>
      <c r="F81" s="55" t="n">
        <v>100.5098384</v>
      </c>
      <c r="G81" s="56" t="inlineStr">
        <is>
          <t>cafe</t>
        </is>
      </c>
      <c r="H81" s="51" t="n">
        <v>2</v>
      </c>
      <c r="I81" s="57" t="n">
        <v>4.8</v>
      </c>
      <c r="J81" s="58" t="inlineStr">
        <is>
          <t>10:00-19:00</t>
        </is>
      </c>
      <c r="K81" s="51" t="inlineStr">
        <is>
          <t>10:00-19:00</t>
        </is>
      </c>
      <c r="L81" s="51" t="inlineStr">
        <is>
          <t>10:00-19:00</t>
        </is>
      </c>
      <c r="M81" s="51" t="inlineStr">
        <is>
          <t>10:00-19:00</t>
        </is>
      </c>
      <c r="N81" s="51" t="inlineStr">
        <is>
          <t>10:00-19:00</t>
        </is>
      </c>
      <c r="O81" s="51" t="inlineStr">
        <is>
          <t>10:00-19:00</t>
        </is>
      </c>
      <c r="P81" s="51" t="inlineStr">
        <is>
          <t>10:00-19:00</t>
        </is>
      </c>
      <c r="Q81" s="58" t="n">
        <v>30</v>
      </c>
      <c r="R81" s="59" t="n">
        <v>0</v>
      </c>
      <c r="S81" s="53" t="inlineStr">
        <is>
          <t>ร้านใบชาจีนบนถนนเจริญกรุง ใกล้เยาวราช</t>
        </is>
      </c>
      <c r="T81" s="51" t="n"/>
      <c r="U81" s="58" t="inlineStr">
        <is>
          <t>N</t>
        </is>
      </c>
      <c r="V81" s="53" t="n"/>
      <c r="W81" s="53" t="n"/>
      <c r="X81" s="60" t="inlineStr">
        <is>
          <t>ร้านเครื่องดื่ม</t>
        </is>
      </c>
      <c r="Y81" s="61" t="inlineStr">
        <is>
          <t>เยาวราช</t>
        </is>
      </c>
      <c r="Z81" s="62" t="n">
        <v>0.31</v>
      </c>
      <c r="AA81" s="61" t="inlineStr">
        <is>
          <t>THREE TEA POTS by Ew Kee Tea</t>
        </is>
      </c>
      <c r="AB81" s="63" t="n">
        <v>131</v>
      </c>
      <c r="AC81" s="61" t="inlineStr">
        <is>
          <t>ร้านใบชา</t>
        </is>
      </c>
      <c r="AD81" s="61" t="inlineStr">
        <is>
          <t>Google Maps (รายวัน)</t>
        </is>
      </c>
      <c r="AE81" s="61" t="inlineStr">
        <is>
          <t>ทุกวัน 10:00-19:00 (เสาร์)</t>
        </is>
      </c>
      <c r="AF81" s="61" t="inlineStr">
        <is>
          <t>ประมาณการจากประเภทร้าน/ทำเล (ยังไม่ยืนยัน)</t>
        </is>
      </c>
      <c r="AG81" s="63" t="n"/>
      <c r="AH81" s="61" t="inlineStr">
        <is>
          <t>465-467 ถ.เจริญกรุง ป้อมปราบ ป้อมปราบฯ</t>
        </is>
      </c>
      <c r="AI81" s="61" t="inlineStr">
        <is>
          <t>+66 95 516 2125</t>
        </is>
      </c>
      <c r="AJ81" s="61" t="inlineStr">
        <is>
          <t>ChIJt5EP4UqZ4jAR4sUvrUikzSE</t>
        </is>
      </c>
      <c r="AK81" s="64" t="inlineStr">
        <is>
          <t>เปิดแผนที่ ↗</t>
        </is>
      </c>
    </row>
    <row r="82" ht="20" customHeight="1">
      <c r="A82" s="50" t="inlineStr">
        <is>
          <t>bangkok-restaurant-sweettime-yaowarat</t>
        </is>
      </c>
      <c r="B82" s="51" t="inlineStr">
        <is>
          <t>restaurant</t>
        </is>
      </c>
      <c r="C82" s="52" t="inlineStr">
        <is>
          <t>Sweettime</t>
        </is>
      </c>
      <c r="D82" s="53" t="inlineStr">
        <is>
          <t>เยาวราช</t>
        </is>
      </c>
      <c r="E82" s="54" t="n">
        <v>13.740326</v>
      </c>
      <c r="F82" s="55" t="n">
        <v>100.5098555</v>
      </c>
      <c r="G82" s="56" t="inlineStr">
        <is>
          <t>localFood</t>
        </is>
      </c>
      <c r="H82" s="51" t="n">
        <v>1</v>
      </c>
      <c r="I82" s="57" t="n">
        <v>4.2</v>
      </c>
      <c r="J82" s="58" t="n"/>
      <c r="K82" s="51" t="inlineStr">
        <is>
          <t>17:30-25:30</t>
        </is>
      </c>
      <c r="L82" s="51" t="inlineStr">
        <is>
          <t>17:30-25:30</t>
        </is>
      </c>
      <c r="M82" s="51" t="inlineStr">
        <is>
          <t>17:30-25:30</t>
        </is>
      </c>
      <c r="N82" s="51" t="inlineStr">
        <is>
          <t>17:30-25:30</t>
        </is>
      </c>
      <c r="O82" s="51" t="inlineStr">
        <is>
          <t>17:30-25:30</t>
        </is>
      </c>
      <c r="P82" s="51" t="inlineStr">
        <is>
          <t>17:30-25:30</t>
        </is>
      </c>
      <c r="Q82" s="58" t="n">
        <v>30</v>
      </c>
      <c r="R82" s="59" t="n">
        <v>0</v>
      </c>
      <c r="S82" s="53" t="inlineStr">
        <is>
          <t>ร้านของหวานบนถนนเยาวราช เปิดช่วงเย็นถึงดึก</t>
        </is>
      </c>
      <c r="T82" s="51" t="n"/>
      <c r="U82" s="58" t="inlineStr">
        <is>
          <t>N</t>
        </is>
      </c>
      <c r="V82" s="53" t="n"/>
      <c r="W82" s="53" t="inlineStr">
        <is>
          <t>ปิดหลังเที่ยงคืน เขียนเวลาปิดเกิน 24:00 ตามรูปแบบ ClockTime</t>
        </is>
      </c>
      <c r="X82" s="60" t="inlineStr">
        <is>
          <t>ร้านของหวาน</t>
        </is>
      </c>
      <c r="Y82" s="61" t="inlineStr">
        <is>
          <t>เยาวราช</t>
        </is>
      </c>
      <c r="Z82" s="62" t="n">
        <v>0.07000000000000001</v>
      </c>
      <c r="AA82" s="61" t="inlineStr">
        <is>
          <t>Sweettime สาขาเยาวราช</t>
        </is>
      </c>
      <c r="AB82" s="63" t="n"/>
      <c r="AC82" s="61" t="inlineStr">
        <is>
          <t>ร้านของหวาน, แผงขายอาหาร</t>
        </is>
      </c>
      <c r="AD82" s="61" t="inlineStr">
        <is>
          <t>ตารางของเพื่อน (Google ให้มาแค่ 1 วัน)</t>
        </is>
      </c>
      <c r="AE82" s="61" t="inlineStr">
        <is>
          <t>อ-อา 17:30-01:30 (ปิดจันทร์)</t>
        </is>
      </c>
      <c r="AF82" s="61" t="inlineStr">
        <is>
          <t>ประมาณการจากประเภทร้าน/ทำเล (ยังไม่ยืนยัน)</t>
        </is>
      </c>
      <c r="AG82" s="63" t="n"/>
      <c r="AH82" s="61" t="inlineStr">
        <is>
          <t>436 ถ.เยาวราช สัมพันธวงศ์</t>
        </is>
      </c>
      <c r="AI82" s="61" t="inlineStr">
        <is>
          <t>+66 86 722 2458</t>
        </is>
      </c>
      <c r="AJ82" s="61" t="inlineStr">
        <is>
          <t>ChIJI5IJnSGZ4jAR_BRDFrSbdH0</t>
        </is>
      </c>
      <c r="AK82" s="64" t="inlineStr">
        <is>
          <t>เปิดแผนที่ ↗</t>
        </is>
      </c>
    </row>
    <row r="83" ht="20" customHeight="1">
      <c r="A83" s="50" t="inlineStr">
        <is>
          <t>bangkok-restaurant-ba-hao-tian-mi-yaowarat</t>
        </is>
      </c>
      <c r="B83" s="51" t="inlineStr">
        <is>
          <t>restaurant</t>
        </is>
      </c>
      <c r="C83" s="52" t="inlineStr">
        <is>
          <t>Ba Hao Tian Mi - Yaowarat</t>
        </is>
      </c>
      <c r="D83" s="53" t="inlineStr">
        <is>
          <t>เยาวราช</t>
        </is>
      </c>
      <c r="E83" s="54" t="n">
        <v>13.7408783</v>
      </c>
      <c r="F83" s="55" t="n">
        <v>100.5110849</v>
      </c>
      <c r="G83" s="56" t="inlineStr">
        <is>
          <t>cafe</t>
        </is>
      </c>
      <c r="H83" s="51" t="n">
        <v>2</v>
      </c>
      <c r="I83" s="57" t="n">
        <v>4.3</v>
      </c>
      <c r="J83" s="58" t="inlineStr">
        <is>
          <t>10:00-22:00</t>
        </is>
      </c>
      <c r="K83" s="51" t="inlineStr">
        <is>
          <t>10:00-22:00</t>
        </is>
      </c>
      <c r="L83" s="51" t="inlineStr">
        <is>
          <t>10:00-22:00</t>
        </is>
      </c>
      <c r="M83" s="51" t="inlineStr">
        <is>
          <t>10:00-22:00</t>
        </is>
      </c>
      <c r="N83" s="51" t="inlineStr">
        <is>
          <t>10:00-23:00</t>
        </is>
      </c>
      <c r="O83" s="51" t="inlineStr">
        <is>
          <t>10:00-23:00</t>
        </is>
      </c>
      <c r="P83" s="51" t="inlineStr">
        <is>
          <t>10:00-23:00</t>
        </is>
      </c>
      <c r="Q83" s="58" t="n">
        <v>30</v>
      </c>
      <c r="R83" s="59" t="n">
        <v>0</v>
      </c>
      <c r="S83" s="53" t="inlineStr">
        <is>
          <t>ร้านของหวานและเครื่องดื่มสไตล์จีน ย่านเยาวราช</t>
        </is>
      </c>
      <c r="T83" s="51" t="n"/>
      <c r="U83" s="58" t="inlineStr">
        <is>
          <t>N</t>
        </is>
      </c>
      <c r="V83" s="53" t="n"/>
      <c r="W83" s="53" t="inlineStr">
        <is>
          <t>เวลาจริงไม่ใช่ "ทุกวัน" ตามตารางเดิม (เดิมเช็กแค่วันเสาร์)</t>
        </is>
      </c>
      <c r="X83" s="60" t="inlineStr">
        <is>
          <t>ร้านของหวาน</t>
        </is>
      </c>
      <c r="Y83" s="61" t="inlineStr">
        <is>
          <t>เยาวราช</t>
        </is>
      </c>
      <c r="Z83" s="62" t="n">
        <v>0.18</v>
      </c>
      <c r="AA83" s="61" t="inlineStr">
        <is>
          <t>ปา เฮ่า เถียน มี่ - เยาวราช</t>
        </is>
      </c>
      <c r="AB83" s="63" t="n">
        <v>1479</v>
      </c>
      <c r="AC83" s="61" t="inlineStr">
        <is>
          <t>ร้านของหวาน</t>
        </is>
      </c>
      <c r="AD83" s="61" t="inlineStr">
        <is>
          <t>Google Maps (รายวัน)</t>
        </is>
      </c>
      <c r="AE83" s="61" t="inlineStr">
        <is>
          <t>ทุกวัน 10:00-23:00 (เสาร์)</t>
        </is>
      </c>
      <c r="AF83" s="61" t="inlineStr">
        <is>
          <t>ประมาณการจากประเภทร้าน/ทำเล (ยังไม่ยืนยัน)</t>
        </is>
      </c>
      <c r="AG83" s="63" t="n"/>
      <c r="AH83" s="61" t="inlineStr">
        <is>
          <t>8 ถ.พลับพลาไชย/ผดุงด้าว สัมพันธวงศ์</t>
        </is>
      </c>
      <c r="AI83" s="61" t="inlineStr">
        <is>
          <t>+66 97 995 4543</t>
        </is>
      </c>
      <c r="AJ83" s="61" t="inlineStr">
        <is>
          <t>ChIJ2dYIoeeZ4jARgBOBTWYpMrw</t>
        </is>
      </c>
      <c r="AK83" s="64" t="inlineStr">
        <is>
          <t>เปิดแผนที่ ↗</t>
        </is>
      </c>
    </row>
    <row r="84" ht="20" customHeight="1">
      <c r="A84" s="50" t="inlineStr">
        <is>
          <t>bangkok-restaurant-che-muai-mi-wan</t>
        </is>
      </c>
      <c r="B84" s="51" t="inlineStr">
        <is>
          <t>restaurant</t>
        </is>
      </c>
      <c r="C84" s="52" t="inlineStr">
        <is>
          <t>Che Muai Mi Wan (เฉ๋าก๊วยหมวยมีหวาน)</t>
        </is>
      </c>
      <c r="D84" s="53" t="inlineStr">
        <is>
          <t>เยาวราช</t>
        </is>
      </c>
      <c r="E84" s="54" t="n">
        <v>13.7422136</v>
      </c>
      <c r="F84" s="55" t="n">
        <v>100.510526</v>
      </c>
      <c r="G84" s="56" t="inlineStr">
        <is>
          <t>localFood</t>
        </is>
      </c>
      <c r="H84" s="51" t="n">
        <v>1</v>
      </c>
      <c r="I84" s="57" t="n">
        <v>4.3</v>
      </c>
      <c r="J84" s="58" t="inlineStr">
        <is>
          <t>09:00-21:30</t>
        </is>
      </c>
      <c r="K84" s="51" t="inlineStr">
        <is>
          <t>09:00-21:30</t>
        </is>
      </c>
      <c r="L84" s="51" t="inlineStr">
        <is>
          <t>09:00-21:30</t>
        </is>
      </c>
      <c r="M84" s="51" t="inlineStr">
        <is>
          <t>09:00-21:30</t>
        </is>
      </c>
      <c r="N84" s="51" t="inlineStr">
        <is>
          <t>09:00-21:30</t>
        </is>
      </c>
      <c r="O84" s="51" t="inlineStr">
        <is>
          <t>09:00-22:00</t>
        </is>
      </c>
      <c r="P84" s="51" t="inlineStr">
        <is>
          <t>09:00-22:00</t>
        </is>
      </c>
      <c r="Q84" s="58" t="n">
        <v>20</v>
      </c>
      <c r="R84" s="59" t="n">
        <v>0</v>
      </c>
      <c r="S84" s="53" t="inlineStr">
        <is>
          <t>ร้านขนมหวานจีนในซอยเจริญไชย ย่านเยาวราช</t>
        </is>
      </c>
      <c r="T84" s="51" t="n"/>
      <c r="U84" s="58" t="inlineStr">
        <is>
          <t>N</t>
        </is>
      </c>
      <c r="V84" s="53" t="n"/>
      <c r="W84" s="53" t="inlineStr">
        <is>
          <t>เวลาจริงไม่ใช่ "ทุกวัน" ตามตารางเดิม (เดิมเช็กแค่วันเสาร์)</t>
        </is>
      </c>
      <c r="X84" s="60" t="inlineStr">
        <is>
          <t>ร้านของหวาน</t>
        </is>
      </c>
      <c r="Y84" s="61" t="inlineStr">
        <is>
          <t>เยาวราช</t>
        </is>
      </c>
      <c r="Z84" s="62" t="n">
        <v>0.29</v>
      </c>
      <c r="AA84" s="61" t="inlineStr">
        <is>
          <t>หมี่หวานเจ๊หมวยเยาวราช</t>
        </is>
      </c>
      <c r="AB84" s="63" t="n">
        <v>113</v>
      </c>
      <c r="AC84" s="61" t="inlineStr">
        <is>
          <t>ร้านขนมหวาน, ร้านของหวาน</t>
        </is>
      </c>
      <c r="AD84" s="61" t="inlineStr">
        <is>
          <t>Google Maps (รายวัน)</t>
        </is>
      </c>
      <c r="AE84" s="61" t="inlineStr">
        <is>
          <t>ทุกวัน 09:00-22:00 (เสาร์)</t>
        </is>
      </c>
      <c r="AF84" s="61" t="inlineStr">
        <is>
          <t>ประมาณการจากประเภทร้าน/ทำเล (ยังไม่ยืนยัน)</t>
        </is>
      </c>
      <c r="AG84" s="63" t="n"/>
      <c r="AH84" s="61" t="inlineStr">
        <is>
          <t>534 ซ.เจริญไชย 2 ป้อมปราบ ป้อมปราบฯ</t>
        </is>
      </c>
      <c r="AI84" s="61" t="inlineStr">
        <is>
          <t>+66 80 621 3050</t>
        </is>
      </c>
      <c r="AJ84" s="61" t="inlineStr">
        <is>
          <t>ChIJ87Kr8yGZ4jARCcnpigaGLP4</t>
        </is>
      </c>
      <c r="AK84" s="64" t="inlineStr">
        <is>
          <t>เปิดแผนที่ ↗</t>
        </is>
      </c>
    </row>
    <row r="85" ht="20" customHeight="1">
      <c r="A85" s="50" t="inlineStr">
        <is>
          <t>bangkok-restaurant-khun-aoi-kitchen-khlong-bang-luang</t>
        </is>
      </c>
      <c r="B85" s="51" t="inlineStr">
        <is>
          <t>restaurant</t>
        </is>
      </c>
      <c r="C85" s="52" t="inlineStr">
        <is>
          <t>Khun Aoi's Kitchen (ครัวคุณอ้อย)</t>
        </is>
      </c>
      <c r="D85" s="53" t="inlineStr">
        <is>
          <t>คลองบางหลวง</t>
        </is>
      </c>
      <c r="E85" s="54" t="n">
        <v>13.73075</v>
      </c>
      <c r="F85" s="55" t="n">
        <v>100.46354</v>
      </c>
      <c r="G85" s="56" t="inlineStr">
        <is>
          <t>localFood</t>
        </is>
      </c>
      <c r="H85" s="51" t="n">
        <v>1</v>
      </c>
      <c r="I85" s="57" t="n">
        <v>3.9</v>
      </c>
      <c r="J85" s="58" t="inlineStr">
        <is>
          <t>08:00-19:00</t>
        </is>
      </c>
      <c r="K85" s="51" t="inlineStr">
        <is>
          <t>08:00-19:00</t>
        </is>
      </c>
      <c r="L85" s="51" t="inlineStr">
        <is>
          <t>08:00-19:00</t>
        </is>
      </c>
      <c r="M85" s="51" t="inlineStr">
        <is>
          <t>08:00-19:00</t>
        </is>
      </c>
      <c r="N85" s="51" t="inlineStr">
        <is>
          <t>08:00-19:00</t>
        </is>
      </c>
      <c r="O85" s="51" t="inlineStr">
        <is>
          <t>07:00-19:00</t>
        </is>
      </c>
      <c r="P85" s="51" t="inlineStr">
        <is>
          <t>07:00-19:00</t>
        </is>
      </c>
      <c r="Q85" s="58" t="n">
        <v>60</v>
      </c>
      <c r="R85" s="59" t="n">
        <v>0</v>
      </c>
      <c r="S85" s="53" t="inlineStr">
        <is>
          <t>ร้านอาหารไทยใกล้คลองบางหลวง ย่านภาษีเจริญ</t>
        </is>
      </c>
      <c r="T85" s="51" t="n"/>
      <c r="U85" s="58" t="inlineStr">
        <is>
          <t>Y</t>
        </is>
      </c>
      <c r="V85" s="53" t="n"/>
      <c r="W85" s="53" t="inlineStr">
        <is>
          <t>เวลาจริงไม่ใช่ "ทุกวัน" ตามตารางเดิม (เดิมเช็กแค่วันเสาร์)</t>
        </is>
      </c>
      <c r="X85" s="60" t="inlineStr">
        <is>
          <t>ร้านอาหาร</t>
        </is>
      </c>
      <c r="Y85" s="61" t="inlineStr">
        <is>
          <t>คลองบางหลวง (Artist House / ตลาดน้ำคลองบางหลวง ภาษีเจริญ)</t>
        </is>
      </c>
      <c r="Z85" s="62" t="n">
        <v>0.06</v>
      </c>
      <c r="AA85" s="61" t="inlineStr">
        <is>
          <t>ครัวคุณอ๋อยคลองบางหลวง</t>
        </is>
      </c>
      <c r="AB85" s="63" t="n">
        <v>352</v>
      </c>
      <c r="AC85" s="61" t="inlineStr">
        <is>
          <t>ภัตตาคารอาหารไทย</t>
        </is>
      </c>
      <c r="AD85" s="61" t="inlineStr">
        <is>
          <t>Google Maps (รายวัน)</t>
        </is>
      </c>
      <c r="AE85" s="61" t="inlineStr">
        <is>
          <t>ทุกวัน 07:00-19:00 (เสาร์)</t>
        </is>
      </c>
      <c r="AF85" s="61" t="inlineStr">
        <is>
          <t>ประมาณการจากประเภทร้าน/ทำเล (ยังไม่ยืนยัน)</t>
        </is>
      </c>
      <c r="AG85" s="63" t="n"/>
      <c r="AH85" s="61" t="inlineStr">
        <is>
          <t>301 ถ.เพชรเกษม คูหาสวรรค์ ภาษีเจริญ</t>
        </is>
      </c>
      <c r="AI85" s="61" t="inlineStr">
        <is>
          <t>+66 84 076 1002</t>
        </is>
      </c>
      <c r="AJ85" s="61" t="inlineStr">
        <is>
          <t>ChIJIwWhlEmY4jARKlgNkAARFJQ</t>
        </is>
      </c>
      <c r="AK85" s="64" t="inlineStr">
        <is>
          <t>เปิดแผนที่ ↗</t>
        </is>
      </c>
    </row>
    <row r="86" ht="20" customHeight="1">
      <c r="A86" s="50" t="inlineStr">
        <is>
          <t>bangkok-restaurant-baan-plern-jitt</t>
        </is>
      </c>
      <c r="B86" s="51" t="inlineStr">
        <is>
          <t>restaurant</t>
        </is>
      </c>
      <c r="C86" s="52" t="inlineStr">
        <is>
          <t>Baan Plern Jitt (บ้านเพลินจิต)</t>
        </is>
      </c>
      <c r="D86" s="53" t="inlineStr">
        <is>
          <t>คลองบางหลวง</t>
        </is>
      </c>
      <c r="E86" s="54" t="n">
        <v>13.73091</v>
      </c>
      <c r="F86" s="55" t="n">
        <v>100.46319</v>
      </c>
      <c r="G86" s="56" t="inlineStr">
        <is>
          <t>localFood</t>
        </is>
      </c>
      <c r="H86" s="51" t="n">
        <v>2</v>
      </c>
      <c r="I86" s="57" t="n">
        <v>4.5</v>
      </c>
      <c r="J86" s="58" t="inlineStr">
        <is>
          <t>11:00-17:00</t>
        </is>
      </c>
      <c r="K86" s="51" t="inlineStr">
        <is>
          <t>11:00-17:00</t>
        </is>
      </c>
      <c r="L86" s="51" t="n"/>
      <c r="M86" s="51" t="inlineStr">
        <is>
          <t>11:00-17:00</t>
        </is>
      </c>
      <c r="N86" s="51" t="inlineStr">
        <is>
          <t>11:00-17:00</t>
        </is>
      </c>
      <c r="O86" s="51" t="inlineStr">
        <is>
          <t>11:00-17:00</t>
        </is>
      </c>
      <c r="P86" s="51" t="inlineStr">
        <is>
          <t>11:00-17:00</t>
        </is>
      </c>
      <c r="Q86" s="58" t="n">
        <v>60</v>
      </c>
      <c r="R86" s="59" t="n">
        <v>0</v>
      </c>
      <c r="S86" s="53" t="inlineStr">
        <is>
          <t>ร้านอาหารไทยริมคลองบางหลวง ใกล้บ้านศิลปิน</t>
        </is>
      </c>
      <c r="T86" s="51" t="n"/>
      <c r="U86" s="58" t="inlineStr">
        <is>
          <t>Y</t>
        </is>
      </c>
      <c r="V86" s="53" t="n"/>
      <c r="W86" s="53" t="n"/>
      <c r="X86" s="60" t="inlineStr">
        <is>
          <t>ร้านอาหาร</t>
        </is>
      </c>
      <c r="Y86" s="61" t="inlineStr">
        <is>
          <t>คลองบางหลวง (Artist House / ตลาดน้ำคลองบางหลวง ภาษีเจริญ)</t>
        </is>
      </c>
      <c r="Z86" s="62" t="n">
        <v>0.03</v>
      </c>
      <c r="AA86" s="61" t="inlineStr">
        <is>
          <t>บ้านเพลินจิตต์ ณ คลองบางหลวง</t>
        </is>
      </c>
      <c r="AB86" s="63" t="n">
        <v>219</v>
      </c>
      <c r="AC86" s="61" t="inlineStr">
        <is>
          <t>ภัตตาคารอาหารไทย</t>
        </is>
      </c>
      <c r="AD86" s="61" t="inlineStr">
        <is>
          <t>Google Maps (รายวัน)</t>
        </is>
      </c>
      <c r="AE86" s="61" t="inlineStr">
        <is>
          <t>ทุกวัน 11:00-17:00 (ปิดวันพุธ)</t>
        </is>
      </c>
      <c r="AF86" s="61" t="inlineStr">
        <is>
          <t>ประมาณการจากประเภทร้าน/ทำเล (ยังไม่ยืนยัน)</t>
        </is>
      </c>
      <c r="AG86" s="63" t="n"/>
      <c r="AH86" s="61" t="inlineStr">
        <is>
          <t>เชิงสะพานช้าง ซ.เพชรเกษม 20 ภาษีเจริญ</t>
        </is>
      </c>
      <c r="AI86" s="61" t="inlineStr">
        <is>
          <t>+66 97 241 4961</t>
        </is>
      </c>
      <c r="AJ86" s="61" t="inlineStr">
        <is>
          <t>ChIJQd2TUOyZ4jAR_5b3Z6wVvzE</t>
        </is>
      </c>
      <c r="AK86" s="64" t="inlineStr">
        <is>
          <t>เปิดแผนที่ ↗</t>
        </is>
      </c>
    </row>
    <row r="87" ht="20" customHeight="1">
      <c r="A87" s="50" t="inlineStr">
        <is>
          <t>bangkok-restaurant-chaai-samai-2498</t>
        </is>
      </c>
      <c r="B87" s="51" t="inlineStr">
        <is>
          <t>restaurant</t>
        </is>
      </c>
      <c r="C87" s="52" t="inlineStr">
        <is>
          <t>Chaai-Samai 2498 Bangkok</t>
        </is>
      </c>
      <c r="D87" s="53" t="inlineStr">
        <is>
          <t>คลองบางหลวง</t>
        </is>
      </c>
      <c r="E87" s="54" t="n">
        <v>13.7263135</v>
      </c>
      <c r="F87" s="55" t="n">
        <v>100.458978</v>
      </c>
      <c r="G87" s="56" t="inlineStr">
        <is>
          <t>localFood,cafe</t>
        </is>
      </c>
      <c r="H87" s="51" t="n">
        <v>2</v>
      </c>
      <c r="I87" s="57" t="n">
        <v>4.4</v>
      </c>
      <c r="J87" s="58" t="inlineStr">
        <is>
          <t>10:00-20:00</t>
        </is>
      </c>
      <c r="K87" s="51" t="inlineStr">
        <is>
          <t>10:00-20:00</t>
        </is>
      </c>
      <c r="L87" s="51" t="n"/>
      <c r="M87" s="51" t="inlineStr">
        <is>
          <t>10:00-20:00</t>
        </is>
      </c>
      <c r="N87" s="51" t="inlineStr">
        <is>
          <t>10:00-20:00</t>
        </is>
      </c>
      <c r="O87" s="51" t="inlineStr">
        <is>
          <t>10:00-20:00</t>
        </is>
      </c>
      <c r="P87" s="51" t="inlineStr">
        <is>
          <t>10:00-20:00</t>
        </is>
      </c>
      <c r="Q87" s="58" t="n">
        <v>60</v>
      </c>
      <c r="R87" s="59" t="n">
        <v>0</v>
      </c>
      <c r="S87" s="53" t="inlineStr">
        <is>
          <t>ร้านอาหารและคาเฟ่บรรยากาศย้อนยุค ย่านภาษีเจริญ</t>
        </is>
      </c>
      <c r="T87" s="51" t="n"/>
      <c r="U87" s="58" t="inlineStr">
        <is>
          <t>Y</t>
        </is>
      </c>
      <c r="V87" s="53" t="n"/>
      <c r="W87" s="53" t="n"/>
      <c r="X87" s="60" t="inlineStr">
        <is>
          <t>ร้านอาหาร</t>
        </is>
      </c>
      <c r="Y87" s="61" t="inlineStr">
        <is>
          <t>คลองบางหลวง (Artist House / ตลาดน้ำคลองบางหลวง ภาษีเจริญ)</t>
        </is>
      </c>
      <c r="Z87" s="62" t="n">
        <v>0.72</v>
      </c>
      <c r="AA87" s="61" t="inlineStr">
        <is>
          <t>Chaai-Samai 2498 Bangkok ชายสมัย 2498 บางกอก</t>
        </is>
      </c>
      <c r="AB87" s="63" t="n">
        <v>1340</v>
      </c>
      <c r="AC87" s="61" t="inlineStr">
        <is>
          <t>ร้านอาหาร</t>
        </is>
      </c>
      <c r="AD87" s="61" t="inlineStr">
        <is>
          <t>Google Maps (รายวัน)</t>
        </is>
      </c>
      <c r="AE87" s="61" t="inlineStr">
        <is>
          <t>ทุกวัน 10:00-20:00 (ปิดวันพุธ)</t>
        </is>
      </c>
      <c r="AF87" s="61" t="inlineStr">
        <is>
          <t>ประมาณการจากประเภทร้าน/ทำเล (ยังไม่ยืนยัน)</t>
        </is>
      </c>
      <c r="AG87" s="63" t="n"/>
      <c r="AH87" s="61" t="inlineStr">
        <is>
          <t>97/2 ซ.เพชรเกษม 28 คูหาสวรรค์ ภาษีเจริญ</t>
        </is>
      </c>
      <c r="AI87" s="61" t="inlineStr">
        <is>
          <t>+66 88 269 9542</t>
        </is>
      </c>
      <c r="AJ87" s="61" t="inlineStr">
        <is>
          <t>ChIJk4cFjByZ4jAR9rbLbQM3G1c</t>
        </is>
      </c>
      <c r="AK87" s="64" t="inlineStr">
        <is>
          <t>เปิดแผนที่ ↗</t>
        </is>
      </c>
    </row>
    <row r="88" ht="20" customHeight="1">
      <c r="A88" s="50" t="inlineStr">
        <is>
          <t>bangkok-restaurant-baan-khlong-luang-cafe</t>
        </is>
      </c>
      <c r="B88" s="51" t="inlineStr">
        <is>
          <t>restaurant</t>
        </is>
      </c>
      <c r="C88" s="52" t="inlineStr">
        <is>
          <t>Baan Khlong Luang Cafe Khlongbangluang</t>
        </is>
      </c>
      <c r="D88" s="53" t="inlineStr">
        <is>
          <t>คลองบางหลวง</t>
        </is>
      </c>
      <c r="E88" s="54" t="n">
        <v>13.73212</v>
      </c>
      <c r="F88" s="55" t="n">
        <v>100.46281</v>
      </c>
      <c r="G88" s="56" t="inlineStr">
        <is>
          <t>cafe,artCulture</t>
        </is>
      </c>
      <c r="H88" s="51" t="n">
        <v>1</v>
      </c>
      <c r="I88" s="57" t="n">
        <v>4.9</v>
      </c>
      <c r="J88" s="58" t="inlineStr">
        <is>
          <t>09:50-18:30</t>
        </is>
      </c>
      <c r="K88" s="51" t="inlineStr">
        <is>
          <t>09:50-18:30</t>
        </is>
      </c>
      <c r="L88" s="51" t="inlineStr">
        <is>
          <t>09:50-18:30</t>
        </is>
      </c>
      <c r="M88" s="51" t="inlineStr">
        <is>
          <t>09:50-18:30</t>
        </is>
      </c>
      <c r="N88" s="51" t="inlineStr">
        <is>
          <t>09:50-18:30</t>
        </is>
      </c>
      <c r="O88" s="51" t="inlineStr">
        <is>
          <t>09:50-18:30</t>
        </is>
      </c>
      <c r="P88" s="51" t="inlineStr">
        <is>
          <t>09:50-18:30</t>
        </is>
      </c>
      <c r="Q88" s="58" t="n">
        <v>30</v>
      </c>
      <c r="R88" s="59" t="n">
        <v>0</v>
      </c>
      <c r="S88" s="53" t="inlineStr">
        <is>
          <t>คาเฟ่ศิลปะริมคลองบางหลวง</t>
        </is>
      </c>
      <c r="T88" s="51" t="n"/>
      <c r="U88" s="58" t="inlineStr">
        <is>
          <t>N</t>
        </is>
      </c>
      <c r="V88" s="53" t="n"/>
      <c r="W88" s="53" t="n"/>
      <c r="X88" s="60" t="inlineStr">
        <is>
          <t>ร้านเครื่องดื่ม</t>
        </is>
      </c>
      <c r="Y88" s="61" t="inlineStr">
        <is>
          <t>คลองบางหลวง (Artist House / ตลาดน้ำคลองบางหลวง ภาษีเจริญ)</t>
        </is>
      </c>
      <c r="Z88" s="62" t="n">
        <v>0.12</v>
      </c>
      <c r="AA88" s="61" t="inlineStr">
        <is>
          <t>Baan Khlong Luang Cafe Khlongbangluang</t>
        </is>
      </c>
      <c r="AB88" s="63" t="n">
        <v>43</v>
      </c>
      <c r="AC88" s="61" t="inlineStr">
        <is>
          <t>คาเฟ่ศิลปะ</t>
        </is>
      </c>
      <c r="AD88" s="61" t="inlineStr">
        <is>
          <t>Google Maps (รายวัน)</t>
        </is>
      </c>
      <c r="AE88" s="61" t="inlineStr">
        <is>
          <t>ทุกวัน 09:50-18:30 (เสาร์)</t>
        </is>
      </c>
      <c r="AF88" s="61" t="inlineStr">
        <is>
          <t>ประมาณการจากประเภทร้าน/ทำเล (ยังไม่ยืนยัน)</t>
        </is>
      </c>
      <c r="AG88" s="63" t="n"/>
      <c r="AH88" s="61" t="inlineStr">
        <is>
          <t>503 คลองบางหลวง ซ.เพชรเกษม 28 คูหาสวรรค์ ภาษีเจริญ</t>
        </is>
      </c>
      <c r="AI88" s="61" t="n"/>
      <c r="AJ88" s="61" t="inlineStr">
        <is>
          <t>ChIJ829BuVyZ4jARomvWRybOhI0</t>
        </is>
      </c>
      <c r="AK88" s="64" t="inlineStr">
        <is>
          <t>เปิดแผนที่ ↗</t>
        </is>
      </c>
    </row>
    <row r="89" ht="20" customHeight="1">
      <c r="A89" s="50" t="inlineStr">
        <is>
          <t>bangkok-restaurant-baan-phueng-sin-cafe</t>
        </is>
      </c>
      <c r="B89" s="51" t="inlineStr">
        <is>
          <t>restaurant</t>
        </is>
      </c>
      <c r="C89" s="52" t="inlineStr">
        <is>
          <t>คาเฟ่บ้านพึ่งศิลป์</t>
        </is>
      </c>
      <c r="D89" s="53" t="inlineStr">
        <is>
          <t>คลองบางหลวง</t>
        </is>
      </c>
      <c r="E89" s="54" t="n">
        <v>13.7308418</v>
      </c>
      <c r="F89" s="55" t="n">
        <v>100.4634483</v>
      </c>
      <c r="G89" s="56" t="inlineStr">
        <is>
          <t>cafe,artCulture</t>
        </is>
      </c>
      <c r="H89" s="51" t="n">
        <v>1</v>
      </c>
      <c r="I89" s="57" t="n">
        <v>4.6</v>
      </c>
      <c r="J89" s="58" t="inlineStr">
        <is>
          <t>09:30-18:30</t>
        </is>
      </c>
      <c r="K89" s="51" t="inlineStr">
        <is>
          <t>09:30-18:30</t>
        </is>
      </c>
      <c r="L89" s="51" t="inlineStr">
        <is>
          <t>09:30-18:30</t>
        </is>
      </c>
      <c r="M89" s="51" t="inlineStr">
        <is>
          <t>09:30-18:30</t>
        </is>
      </c>
      <c r="N89" s="51" t="inlineStr">
        <is>
          <t>09:30-18:30</t>
        </is>
      </c>
      <c r="O89" s="51" t="inlineStr">
        <is>
          <t>09:30-18:30</t>
        </is>
      </c>
      <c r="P89" s="51" t="inlineStr">
        <is>
          <t>09:30-18:30</t>
        </is>
      </c>
      <c r="Q89" s="58" t="n">
        <v>30</v>
      </c>
      <c r="R89" s="59" t="n">
        <v>0</v>
      </c>
      <c r="S89" s="53" t="inlineStr">
        <is>
          <t>คาเฟ่ศิลปะในซอยเพชรเกษม 20 ย่านคลองบางหลวง</t>
        </is>
      </c>
      <c r="T89" s="51" t="n"/>
      <c r="U89" s="58" t="inlineStr">
        <is>
          <t>N</t>
        </is>
      </c>
      <c r="V89" s="53" t="n"/>
      <c r="W89" s="53" t="n"/>
      <c r="X89" s="60" t="inlineStr">
        <is>
          <t>ร้านเครื่องดื่ม</t>
        </is>
      </c>
      <c r="Y89" s="61" t="inlineStr">
        <is>
          <t>คลองบางหลวง (Artist House / ตลาดน้ำคลองบางหลวง ภาษีเจริญ)</t>
        </is>
      </c>
      <c r="Z89" s="62" t="n">
        <v>0.04</v>
      </c>
      <c r="AA89" s="61" t="inlineStr">
        <is>
          <t>คาเฟ่บ้านพึ่งศิลป์</t>
        </is>
      </c>
      <c r="AB89" s="63" t="n">
        <v>121</v>
      </c>
      <c r="AC89" s="61" t="inlineStr">
        <is>
          <t>คาเฟ่ศิลปะ</t>
        </is>
      </c>
      <c r="AD89" s="61" t="inlineStr">
        <is>
          <t>Google Maps (รายวัน)</t>
        </is>
      </c>
      <c r="AE89" s="61" t="inlineStr">
        <is>
          <t>ทุกวัน 09:30-18:30 (เสาร์)</t>
        </is>
      </c>
      <c r="AF89" s="61" t="inlineStr">
        <is>
          <t>ประมาณการจากประเภทร้าน/ทำเล (ยังไม่ยืนยัน)</t>
        </is>
      </c>
      <c r="AG89" s="63" t="n"/>
      <c r="AH89" s="61" t="inlineStr">
        <is>
          <t>297 ซ.เพชรเกษม 20 ปากคลองภาษีเจริญ</t>
        </is>
      </c>
      <c r="AI89" s="61" t="inlineStr">
        <is>
          <t>+66 84 076 1002</t>
        </is>
      </c>
      <c r="AJ89" s="61" t="inlineStr">
        <is>
          <t>ChIJdwVRcayZ4jARWYOrvCMw5XM</t>
        </is>
      </c>
      <c r="AK89" s="64" t="inlineStr">
        <is>
          <t>เปิดแผนที่ ↗</t>
        </is>
      </c>
    </row>
    <row r="90" ht="20" customHeight="1">
      <c r="A90" s="50" t="inlineStr">
        <is>
          <t>bangkok-restaurant-artist-house-cafe</t>
        </is>
      </c>
      <c r="B90" s="51" t="inlineStr">
        <is>
          <t>restaurant</t>
        </is>
      </c>
      <c r="C90" s="52" t="inlineStr">
        <is>
          <t>The Artist House Bangkok (คาเฟ่ในบ้านศิลปิน)</t>
        </is>
      </c>
      <c r="D90" s="53" t="inlineStr">
        <is>
          <t>คลองบางหลวง</t>
        </is>
      </c>
      <c r="E90" s="54" t="n">
        <v>13.731232</v>
      </c>
      <c r="F90" s="55" t="n">
        <v>100.4633342</v>
      </c>
      <c r="G90" s="56" t="inlineStr">
        <is>
          <t>cafe,artCulture</t>
        </is>
      </c>
      <c r="H90" s="51" t="n">
        <v>1</v>
      </c>
      <c r="I90" s="57" t="n">
        <v>4.6</v>
      </c>
      <c r="J90" s="58" t="inlineStr">
        <is>
          <t>10:00-18:00</t>
        </is>
      </c>
      <c r="K90" s="51" t="inlineStr">
        <is>
          <t>10:00-18:00</t>
        </is>
      </c>
      <c r="L90" s="51" t="inlineStr">
        <is>
          <t>10:00-18:00</t>
        </is>
      </c>
      <c r="M90" s="51" t="inlineStr">
        <is>
          <t>10:00-18:00</t>
        </is>
      </c>
      <c r="N90" s="51" t="inlineStr">
        <is>
          <t>10:00-18:00</t>
        </is>
      </c>
      <c r="O90" s="51" t="inlineStr">
        <is>
          <t>10:00-19:00</t>
        </is>
      </c>
      <c r="P90" s="51" t="inlineStr">
        <is>
          <t>10:00-18:00</t>
        </is>
      </c>
      <c r="Q90" s="58" t="n">
        <v>45</v>
      </c>
      <c r="R90" s="59" t="n">
        <v>0</v>
      </c>
      <c r="S90" s="53" t="inlineStr">
        <is>
          <t>คาเฟ่ในบ้านศิลปินคลองบางหลวง มีห้องแสดงงานศิลปะ</t>
        </is>
      </c>
      <c r="T90" s="51" t="n"/>
      <c r="U90" s="58" t="inlineStr">
        <is>
          <t>N</t>
        </is>
      </c>
      <c r="V90" s="53" t="n"/>
      <c r="W90" s="53" t="n"/>
      <c r="X90" s="60" t="inlineStr">
        <is>
          <t>ร้านเครื่องดื่ม</t>
        </is>
      </c>
      <c r="Y90" s="61" t="inlineStr">
        <is>
          <t>คลองบางหลวง (Artist House / ตลาดน้ำคลองบางหลวง ภาษีเจริญ)</t>
        </is>
      </c>
      <c r="Z90" s="62" t="n">
        <v>0.01</v>
      </c>
      <c r="AA90" s="61" t="inlineStr">
        <is>
          <t>บ้านศิลปินคลองบางหลวง</t>
        </is>
      </c>
      <c r="AB90" s="63" t="n">
        <v>3347</v>
      </c>
      <c r="AC90" s="61" t="inlineStr">
        <is>
          <t>สถานที่ท่องเที่ยว, คาเฟ่ศิลปะ, ห้องแสดงงานศิลปะ, ร้านกาแฟ, ร้านของที่ระลึก</t>
        </is>
      </c>
      <c r="AD90" s="61" t="inlineStr">
        <is>
          <t>Google Maps (รายวัน)</t>
        </is>
      </c>
      <c r="AE90" s="61" t="inlineStr">
        <is>
          <t>จ-ศ,อา 10:00-18:00 / ส 10:00-19:00</t>
        </is>
      </c>
      <c r="AF90" s="61" t="inlineStr">
        <is>
          <t>ประมาณการจากประเภทร้าน/ทำเล (ยังไม่ยืนยัน)</t>
        </is>
      </c>
      <c r="AG90" s="63" t="n"/>
      <c r="AH90" s="61" t="inlineStr">
        <is>
          <t>309 ถ.เพชรเกษม คูหาสวรรค์ ภาษีเจริญ</t>
        </is>
      </c>
      <c r="AI90" s="61" t="inlineStr">
        <is>
          <t>+66 65 691 5655</t>
        </is>
      </c>
      <c r="AJ90" s="61" t="inlineStr">
        <is>
          <t>ChIJF6uVAzt9HTEROKM0WKZMU7M</t>
        </is>
      </c>
      <c r="AK90" s="64" t="inlineStr">
        <is>
          <t>เปิดแผนที่ ↗</t>
        </is>
      </c>
    </row>
    <row r="91" ht="20" customHeight="1">
      <c r="A91" s="50" t="inlineStr">
        <is>
          <t>bangkok-restaurant-mae-add-khanom-buang</t>
        </is>
      </c>
      <c r="B91" s="51" t="inlineStr">
        <is>
          <t>restaurant</t>
        </is>
      </c>
      <c r="C91" s="52" t="inlineStr">
        <is>
          <t>ขนมเบื้องแม่แอด (คลองบางหลวง)</t>
        </is>
      </c>
      <c r="D91" s="53" t="inlineStr">
        <is>
          <t>คลองบางหลวง</t>
        </is>
      </c>
      <c r="E91" s="54" t="n">
        <v>13.73047</v>
      </c>
      <c r="F91" s="55" t="n">
        <v>100.46355</v>
      </c>
      <c r="G91" s="56" t="inlineStr">
        <is>
          <t>localFood</t>
        </is>
      </c>
      <c r="H91" s="51" t="n">
        <v>1</v>
      </c>
      <c r="I91" s="57" t="n">
        <v>5</v>
      </c>
      <c r="J91" s="58" t="inlineStr">
        <is>
          <t>12:00-18:00</t>
        </is>
      </c>
      <c r="K91" s="51" t="inlineStr">
        <is>
          <t>12:00-18:00</t>
        </is>
      </c>
      <c r="L91" s="51" t="inlineStr">
        <is>
          <t>12:00-18:00</t>
        </is>
      </c>
      <c r="M91" s="51" t="inlineStr">
        <is>
          <t>12:00-18:00</t>
        </is>
      </c>
      <c r="N91" s="51" t="inlineStr">
        <is>
          <t>12:00-18:00</t>
        </is>
      </c>
      <c r="O91" s="51" t="inlineStr">
        <is>
          <t>12:00-18:00</t>
        </is>
      </c>
      <c r="P91" s="51" t="inlineStr">
        <is>
          <t>12:00-18:00</t>
        </is>
      </c>
      <c r="Q91" s="58" t="n">
        <v>20</v>
      </c>
      <c r="R91" s="59" t="n">
        <v>0</v>
      </c>
      <c r="S91" s="53" t="inlineStr">
        <is>
          <t>ร้านขนมเบื้องไทยย่านคลองบางหลวง</t>
        </is>
      </c>
      <c r="T91" s="51" t="n"/>
      <c r="U91" s="58" t="inlineStr">
        <is>
          <t>N</t>
        </is>
      </c>
      <c r="V91" s="53" t="n"/>
      <c r="W91" s="53" t="n"/>
      <c r="X91" s="60" t="inlineStr">
        <is>
          <t>ร้านของหวาน</t>
        </is>
      </c>
      <c r="Y91" s="61" t="inlineStr">
        <is>
          <t>คลองบางหลวง (Artist House / ตลาดน้ำคลองบางหลวง ภาษีเจริญ)</t>
        </is>
      </c>
      <c r="Z91" s="62" t="n">
        <v>0.09</v>
      </c>
      <c r="AA91" s="61" t="inlineStr">
        <is>
          <t>ขนมเบื้องแม่แอด (คลองบางหลวง) Mae Add Kanom Buang – Khlong Bang Luang</t>
        </is>
      </c>
      <c r="AB91" s="63" t="n">
        <v>2</v>
      </c>
      <c r="AC91" s="61" t="inlineStr">
        <is>
          <t>ร้านขนม</t>
        </is>
      </c>
      <c r="AD91" s="61" t="inlineStr">
        <is>
          <t>Google Maps (รายวัน)</t>
        </is>
      </c>
      <c r="AE91" s="61" t="inlineStr">
        <is>
          <t>ทุกวัน 12:00-18:00 (เสาร์)</t>
        </is>
      </c>
      <c r="AF91" s="61" t="inlineStr">
        <is>
          <t>ประมาณการจากประเภทร้าน/ทำเล (ยังไม่ยืนยัน)</t>
        </is>
      </c>
      <c r="AG91" s="63" t="n"/>
      <c r="AH91" s="61" t="inlineStr">
        <is>
          <t>ซ.เพชรเกษม 20 ปากคลองภาษีเจริญ</t>
        </is>
      </c>
      <c r="AI91" s="61" t="inlineStr">
        <is>
          <t>+66 94 551 5308</t>
        </is>
      </c>
      <c r="AJ91" s="61" t="inlineStr">
        <is>
          <t>ChIJIRC5fQCZ4jARxXARpHOPKzM</t>
        </is>
      </c>
      <c r="AK91" s="64" t="inlineStr">
        <is>
          <t>เปิดแผนที่ ↗</t>
        </is>
      </c>
    </row>
    <row r="92" ht="20" customHeight="1">
      <c r="A92" s="50" t="inlineStr">
        <is>
          <t>bangkok-restaurant-zetinee-thai-dessert</t>
        </is>
      </c>
      <c r="B92" s="51" t="inlineStr">
        <is>
          <t>restaurant</t>
        </is>
      </c>
      <c r="C92" s="52" t="inlineStr">
        <is>
          <t>เศรษฐีนี ขนมไทย (Zetinee)</t>
        </is>
      </c>
      <c r="D92" s="53" t="inlineStr">
        <is>
          <t>คลองบางหลวง</t>
        </is>
      </c>
      <c r="E92" s="54" t="n">
        <v>13.73043</v>
      </c>
      <c r="F92" s="55" t="n">
        <v>100.46417</v>
      </c>
      <c r="G92" s="56" t="inlineStr">
        <is>
          <t>localFood</t>
        </is>
      </c>
      <c r="H92" s="51" t="n">
        <v>1</v>
      </c>
      <c r="I92" s="57" t="n"/>
      <c r="J92" s="58" t="inlineStr">
        <is>
          <t>10:00-18:00</t>
        </is>
      </c>
      <c r="K92" s="51" t="inlineStr">
        <is>
          <t>10:00-18:00</t>
        </is>
      </c>
      <c r="L92" s="51" t="inlineStr">
        <is>
          <t>10:00-18:00</t>
        </is>
      </c>
      <c r="M92" s="51" t="inlineStr">
        <is>
          <t>10:00-18:00</t>
        </is>
      </c>
      <c r="N92" s="51" t="inlineStr">
        <is>
          <t>10:00-18:00</t>
        </is>
      </c>
      <c r="O92" s="51" t="inlineStr">
        <is>
          <t>10:00-18:00</t>
        </is>
      </c>
      <c r="P92" s="51" t="inlineStr">
        <is>
          <t>10:00-18:00</t>
        </is>
      </c>
      <c r="Q92" s="58" t="n">
        <v>20</v>
      </c>
      <c r="R92" s="59" t="n">
        <v>0</v>
      </c>
      <c r="S92" s="53" t="inlineStr">
        <is>
          <t>ร้านขนมไทยย่านวัดท่าพระ บางกอกใหญ่</t>
        </is>
      </c>
      <c r="T92" s="51" t="n"/>
      <c r="U92" s="58" t="inlineStr">
        <is>
          <t>N</t>
        </is>
      </c>
      <c r="V92" s="53" t="inlineStr">
        <is>
          <t>Google ไม่มี rating</t>
        </is>
      </c>
      <c r="W92" s="53" t="n"/>
      <c r="X92" s="60" t="inlineStr">
        <is>
          <t>ร้านของหวาน</t>
        </is>
      </c>
      <c r="Y92" s="61" t="inlineStr">
        <is>
          <t>คลองบางหลวง (Artist House / ตลาดน้ำคลองบางหลวง ภาษีเจริญ)</t>
        </is>
      </c>
      <c r="Z92" s="62" t="n">
        <v>0.13</v>
      </c>
      <c r="AA92" s="61" t="inlineStr">
        <is>
          <t>เศรษฐีนี ขนมไทย (Zetinee)</t>
        </is>
      </c>
      <c r="AB92" s="63" t="n"/>
      <c r="AC92" s="61" t="inlineStr">
        <is>
          <t>ร้านของหวาน</t>
        </is>
      </c>
      <c r="AD92" s="61" t="inlineStr">
        <is>
          <t>Google Maps (รายวัน)</t>
        </is>
      </c>
      <c r="AE92" s="61" t="inlineStr">
        <is>
          <t>ทุกวัน 10:00-18:00 (เสาร์)</t>
        </is>
      </c>
      <c r="AF92" s="61" t="inlineStr">
        <is>
          <t>ประมาณการจากประเภทร้าน/ทำเล (ยังไม่ยืนยัน)</t>
        </is>
      </c>
      <c r="AG92" s="63" t="n"/>
      <c r="AH92" s="61" t="inlineStr">
        <is>
          <t>1330/32 ซ.พิสิษฐ์บรรณากร วัดท่าพระ บางกอกใหญ่</t>
        </is>
      </c>
      <c r="AI92" s="61" t="inlineStr">
        <is>
          <t>+66 65 662 6559</t>
        </is>
      </c>
      <c r="AJ92" s="61" t="inlineStr">
        <is>
          <t>ChIJT9ICBAOZ4jARCo3fwpDrQmw</t>
        </is>
      </c>
      <c r="AK92" s="64" t="inlineStr">
        <is>
          <t>เปิดแผนที่ ↗</t>
        </is>
      </c>
    </row>
    <row r="93" ht="20" customHeight="1">
      <c r="A93" s="50" t="inlineStr">
        <is>
          <t>bangkok-restaurant-meow-meow-roll</t>
        </is>
      </c>
      <c r="B93" s="51" t="inlineStr">
        <is>
          <t>restaurant</t>
        </is>
      </c>
      <c r="C93" s="52" t="inlineStr">
        <is>
          <t>Meow Meow Roll - ขนมโตเกียว</t>
        </is>
      </c>
      <c r="D93" s="53" t="inlineStr">
        <is>
          <t>คลองบางหลวง</t>
        </is>
      </c>
      <c r="E93" s="54" t="n">
        <v>13.7316</v>
      </c>
      <c r="F93" s="55" t="n">
        <v>100.46248</v>
      </c>
      <c r="G93" s="56" t="inlineStr">
        <is>
          <t>localFood</t>
        </is>
      </c>
      <c r="H93" s="51" t="n">
        <v>1</v>
      </c>
      <c r="I93" s="57" t="n">
        <v>4.9</v>
      </c>
      <c r="J93" s="58" t="n"/>
      <c r="K93" s="51" t="n"/>
      <c r="L93" s="51" t="n"/>
      <c r="M93" s="51" t="inlineStr">
        <is>
          <t>11:00-17:30</t>
        </is>
      </c>
      <c r="N93" s="51" t="inlineStr">
        <is>
          <t>11:00-17:30</t>
        </is>
      </c>
      <c r="O93" s="51" t="inlineStr">
        <is>
          <t>11:00-17:30</t>
        </is>
      </c>
      <c r="P93" s="51" t="inlineStr">
        <is>
          <t>11:00-17:30</t>
        </is>
      </c>
      <c r="Q93" s="58" t="n">
        <v>20</v>
      </c>
      <c r="R93" s="59" t="n">
        <v>0</v>
      </c>
      <c r="S93" s="53" t="inlineStr">
        <is>
          <t>ร้านขนมโตเกียวย่านภาษีเจริญ ใกล้คลองบางหลวง</t>
        </is>
      </c>
      <c r="T93" s="51" t="n"/>
      <c r="U93" s="58" t="inlineStr">
        <is>
          <t>N</t>
        </is>
      </c>
      <c r="V93" s="53" t="n"/>
      <c r="W93" s="53" t="n"/>
      <c r="X93" s="60" t="inlineStr">
        <is>
          <t>ร้านของหวาน</t>
        </is>
      </c>
      <c r="Y93" s="61" t="inlineStr">
        <is>
          <t>คลองบางหลวง (Artist House / ตลาดน้ำคลองบางหลวง ภาษีเจริญ)</t>
        </is>
      </c>
      <c r="Z93" s="62" t="n">
        <v>0.1</v>
      </c>
      <c r="AA93" s="61" t="inlineStr">
        <is>
          <t>Meow Meow Roll - ขนมโตเกียว</t>
        </is>
      </c>
      <c r="AB93" s="63" t="n">
        <v>115</v>
      </c>
      <c r="AC93" s="61" t="inlineStr">
        <is>
          <t>ร้านเครป</t>
        </is>
      </c>
      <c r="AD93" s="61" t="inlineStr">
        <is>
          <t>Google Maps (รายวัน)</t>
        </is>
      </c>
      <c r="AE93" s="61" t="inlineStr">
        <is>
          <t>พฤ-อา 11:00-17:30 (ปิดจ-พ)</t>
        </is>
      </c>
      <c r="AF93" s="61" t="inlineStr">
        <is>
          <t>ประมาณการจากประเภทร้าน/ทำเล (ยังไม่ยืนยัน)</t>
        </is>
      </c>
      <c r="AG93" s="63" t="n"/>
      <c r="AH93" s="61" t="inlineStr">
        <is>
          <t>178 คูหาสวรรค์ ภาษีเจริญ</t>
        </is>
      </c>
      <c r="AI93" s="61" t="inlineStr">
        <is>
          <t>+66 85 075 5599</t>
        </is>
      </c>
      <c r="AJ93" s="61" t="inlineStr">
        <is>
          <t>ChIJ-xFr-ieZ4jAR7Eyiebjcuwc</t>
        </is>
      </c>
      <c r="AK93" s="64" t="inlineStr">
        <is>
          <t>เปิดแผนที่ ↗</t>
        </is>
      </c>
    </row>
    <row r="94" ht="20" customHeight="1">
      <c r="A94" s="50" t="inlineStr">
        <is>
          <t>bangkok-restaurant-nopparat-cuisine-gallery</t>
        </is>
      </c>
      <c r="B94" s="51" t="inlineStr">
        <is>
          <t>restaurant</t>
        </is>
      </c>
      <c r="C94" s="52" t="inlineStr">
        <is>
          <t>Nopparat Cuisine and Gallery</t>
        </is>
      </c>
      <c r="D94" s="53" t="inlineStr">
        <is>
          <t>บางลำพู</t>
        </is>
      </c>
      <c r="E94" s="54" t="n">
        <v>13.76354</v>
      </c>
      <c r="F94" s="55" t="n">
        <v>100.49551</v>
      </c>
      <c r="G94" s="56" t="inlineStr">
        <is>
          <t>localFood,artCulture</t>
        </is>
      </c>
      <c r="H94" s="51" t="n">
        <v>2</v>
      </c>
      <c r="I94" s="57" t="n">
        <v>4.7</v>
      </c>
      <c r="J94" s="58" t="n"/>
      <c r="K94" s="51" t="inlineStr">
        <is>
          <t>11:00-21:00</t>
        </is>
      </c>
      <c r="L94" s="51" t="inlineStr">
        <is>
          <t>11:00-21:00</t>
        </is>
      </c>
      <c r="M94" s="51" t="inlineStr">
        <is>
          <t>11:00-21:00</t>
        </is>
      </c>
      <c r="N94" s="51" t="inlineStr">
        <is>
          <t>11:00-21:00</t>
        </is>
      </c>
      <c r="O94" s="51" t="inlineStr">
        <is>
          <t>11:00-21:00</t>
        </is>
      </c>
      <c r="P94" s="51" t="inlineStr">
        <is>
          <t>11:00-21:00</t>
        </is>
      </c>
      <c r="Q94" s="58" t="n">
        <v>60</v>
      </c>
      <c r="R94" s="59" t="n">
        <v>0</v>
      </c>
      <c r="S94" s="53" t="inlineStr">
        <is>
          <t>ร้านอาหารไทยและแกลเลอรีบนถนนพระอาทิตย์</t>
        </is>
      </c>
      <c r="T94" s="51" t="n"/>
      <c r="U94" s="58" t="inlineStr">
        <is>
          <t>Y</t>
        </is>
      </c>
      <c r="V94" s="53" t="n"/>
      <c r="W94" s="53" t="inlineStr">
        <is>
          <t>เปิด 2 ช่วง (sun 11:00–14:30 / 17:30–21:00; tue 11:00–14:30 / 17:30–21:00; wed 11:00–14:30 / 17:30–21:00; thu 11:00–14:30 / 17:30–21:00; fri 11:00–14:30 / 17:30–21:00; sat 11:00–14:30 / 17:30–21:00) ระบบรองรับช่วงเดียว จึงใส่ช่วงรวม</t>
        </is>
      </c>
      <c r="X94" s="60" t="inlineStr">
        <is>
          <t>ร้านอาหาร</t>
        </is>
      </c>
      <c r="Y94" s="61" t="inlineStr">
        <is>
          <t>ย่านพระอาทิตย์ (ถ.พระอาทิตย์ บางลำพู)</t>
        </is>
      </c>
      <c r="Z94" s="62" t="n">
        <v>0.12</v>
      </c>
      <c r="AA94" s="61" t="inlineStr">
        <is>
          <t>ครัวนพรัตน์</t>
        </is>
      </c>
      <c r="AB94" s="63" t="n">
        <v>368</v>
      </c>
      <c r="AC94" s="61" t="inlineStr">
        <is>
          <t>ภัตตาคารอาหารไทย, ภัตตาคารอาหารเอเชีย, ร้านอาหาร, ภัตตาคารอาหารเอเชียตะวันออกเฉียงใต้</t>
        </is>
      </c>
      <c r="AD94" s="61" t="inlineStr">
        <is>
          <t>Google Maps (รายวัน)</t>
        </is>
      </c>
      <c r="AE94" s="61" t="inlineStr">
        <is>
          <t>อ-อา 11:00-14:30, 17:30-21:00 (ปิดจันทร์)</t>
        </is>
      </c>
      <c r="AF94" s="61" t="inlineStr">
        <is>
          <t>ประมาณการจากประเภทร้าน/ทำเล (ยังไม่ยืนยัน)</t>
        </is>
      </c>
      <c r="AG94" s="63" t="n"/>
      <c r="AH94" s="61" t="inlineStr">
        <is>
          <t>130-7/132 ถ.พระอาทิตย์ ชนะสงคราม พระนคร</t>
        </is>
      </c>
      <c r="AI94" s="61" t="inlineStr">
        <is>
          <t>+66 81 850 0770</t>
        </is>
      </c>
      <c r="AJ94" s="61" t="inlineStr">
        <is>
          <t>ChIJOcegC3KZ4jARcSGQACiRaHw</t>
        </is>
      </c>
      <c r="AK94" s="64" t="inlineStr">
        <is>
          <t>เปิดแผนที่ ↗</t>
        </is>
      </c>
    </row>
    <row r="95" ht="20" customHeight="1">
      <c r="A95" s="50" t="inlineStr">
        <is>
          <t>bangkok-restaurant-arthit-noodle-club</t>
        </is>
      </c>
      <c r="B95" s="51" t="inlineStr">
        <is>
          <t>restaurant</t>
        </is>
      </c>
      <c r="C95" s="52" t="inlineStr">
        <is>
          <t>Arthit Noodle Club | ก๋วยเตี๋ยวต้มยำ</t>
        </is>
      </c>
      <c r="D95" s="53" t="inlineStr">
        <is>
          <t>บางลำพู</t>
        </is>
      </c>
      <c r="E95" s="54" t="n">
        <v>13.76347</v>
      </c>
      <c r="F95" s="55" t="n">
        <v>100.4943</v>
      </c>
      <c r="G95" s="56" t="inlineStr">
        <is>
          <t>localFood</t>
        </is>
      </c>
      <c r="H95" s="51" t="n">
        <v>1</v>
      </c>
      <c r="I95" s="57" t="n">
        <v>4.9</v>
      </c>
      <c r="J95" s="58" t="inlineStr">
        <is>
          <t>09:00-19:00</t>
        </is>
      </c>
      <c r="K95" s="51" t="inlineStr">
        <is>
          <t>09:00-19:00</t>
        </is>
      </c>
      <c r="L95" s="51" t="inlineStr">
        <is>
          <t>09:00-19:00</t>
        </is>
      </c>
      <c r="M95" s="51" t="inlineStr">
        <is>
          <t>09:00-19:00</t>
        </is>
      </c>
      <c r="N95" s="51" t="inlineStr">
        <is>
          <t>09:00-19:00</t>
        </is>
      </c>
      <c r="O95" s="51" t="inlineStr">
        <is>
          <t>09:00-19:00</t>
        </is>
      </c>
      <c r="P95" s="51" t="inlineStr">
        <is>
          <t>09:00-19:00</t>
        </is>
      </c>
      <c r="Q95" s="58" t="n">
        <v>30</v>
      </c>
      <c r="R95" s="59" t="n">
        <v>0</v>
      </c>
      <c r="S95" s="53" t="inlineStr">
        <is>
          <t>ร้านก๋วยเตี๋ยวต้มยำบนถนนพระอาทิตย์</t>
        </is>
      </c>
      <c r="T95" s="51" t="n"/>
      <c r="U95" s="58" t="inlineStr">
        <is>
          <t>Y</t>
        </is>
      </c>
      <c r="V95" s="53" t="n"/>
      <c r="W95" s="53" t="n"/>
      <c r="X95" s="60" t="inlineStr">
        <is>
          <t>ร้านอาหาร</t>
        </is>
      </c>
      <c r="Y95" s="61" t="inlineStr">
        <is>
          <t>ย่านพระอาทิตย์ (ถ.พระอาทิตย์ บางลำพู)</t>
        </is>
      </c>
      <c r="Z95" s="62" t="n">
        <v>0.04</v>
      </c>
      <c r="AA95" s="61" t="inlineStr">
        <is>
          <t>Arthit Noodle Club | ก๋วยเตี๋ยวต้มยำ</t>
        </is>
      </c>
      <c r="AB95" s="63" t="n">
        <v>117</v>
      </c>
      <c r="AC95" s="61" t="inlineStr">
        <is>
          <t>ร้านก๋วยเตี๋ยว</t>
        </is>
      </c>
      <c r="AD95" s="61" t="inlineStr">
        <is>
          <t>Google Maps (รายวัน)</t>
        </is>
      </c>
      <c r="AE95" s="61" t="inlineStr">
        <is>
          <t>ทุกวัน 09:00-19:00 (เสาร์)</t>
        </is>
      </c>
      <c r="AF95" s="61" t="inlineStr">
        <is>
          <t>ประมาณการจากประเภทร้าน/ทำเล (ยังไม่ยืนยัน)</t>
        </is>
      </c>
      <c r="AG95" s="63" t="n"/>
      <c r="AH95" s="61" t="inlineStr">
        <is>
          <t>47/1 ถ.พระอาทิตย์ ชนะสงคราม พระนคร</t>
        </is>
      </c>
      <c r="AI95" s="61" t="inlineStr">
        <is>
          <t>+66 92 250 0984</t>
        </is>
      </c>
      <c r="AJ95" s="61" t="inlineStr">
        <is>
          <t>ChIJbRv0f9uZ4jAR9pXEQs6Vc4Y</t>
        </is>
      </c>
      <c r="AK95" s="64" t="inlineStr">
        <is>
          <t>เปิดแผนที่ ↗</t>
        </is>
      </c>
    </row>
    <row r="96" ht="20" customHeight="1">
      <c r="A96" s="50" t="inlineStr">
        <is>
          <t>bangkok-restaurant-botanic-backyard</t>
        </is>
      </c>
      <c r="B96" s="51" t="inlineStr">
        <is>
          <t>restaurant</t>
        </is>
      </c>
      <c r="C96" s="52" t="inlineStr">
        <is>
          <t>Botanic Backyard Bar &amp; Restaurant</t>
        </is>
      </c>
      <c r="D96" s="53" t="inlineStr">
        <is>
          <t>บางลำพู</t>
        </is>
      </c>
      <c r="E96" s="54" t="n">
        <v>13.76184</v>
      </c>
      <c r="F96" s="55" t="n">
        <v>100.49465</v>
      </c>
      <c r="G96" s="56" t="inlineStr">
        <is>
          <t>nightlife</t>
        </is>
      </c>
      <c r="H96" s="51" t="n">
        <v>2</v>
      </c>
      <c r="I96" s="57" t="n">
        <v>4.7</v>
      </c>
      <c r="J96" s="58" t="inlineStr">
        <is>
          <t>10:00-24:00</t>
        </is>
      </c>
      <c r="K96" s="51" t="inlineStr">
        <is>
          <t>10:00-24:00</t>
        </is>
      </c>
      <c r="L96" s="51" t="inlineStr">
        <is>
          <t>10:00-24:00</t>
        </is>
      </c>
      <c r="M96" s="51" t="inlineStr">
        <is>
          <t>10:00-24:00</t>
        </is>
      </c>
      <c r="N96" s="51" t="inlineStr">
        <is>
          <t>10:00-24:00</t>
        </is>
      </c>
      <c r="O96" s="51" t="inlineStr">
        <is>
          <t>10:00-24:00</t>
        </is>
      </c>
      <c r="P96" s="51" t="inlineStr">
        <is>
          <t>10:00-24:00</t>
        </is>
      </c>
      <c r="Q96" s="58" t="n">
        <v>75</v>
      </c>
      <c r="R96" s="59" t="n">
        <v>0</v>
      </c>
      <c r="S96" s="53" t="inlineStr">
        <is>
          <t>ร้านอาหารและบาร์ในสวน หลังวัดชนะสงคราม ใกล้ถนนข้าวสาร</t>
        </is>
      </c>
      <c r="T96" s="51" t="n"/>
      <c r="U96" s="58" t="inlineStr">
        <is>
          <t>Y</t>
        </is>
      </c>
      <c r="V96" s="53" t="n"/>
      <c r="W96" s="53" t="n"/>
      <c r="X96" s="60" t="inlineStr">
        <is>
          <t>ร้านอาหาร</t>
        </is>
      </c>
      <c r="Y96" s="61" t="inlineStr">
        <is>
          <t>ย่านพระอาทิตย์ (ถ.พระอาทิตย์ บางลำพู)</t>
        </is>
      </c>
      <c r="Z96" s="62" t="n">
        <v>0.15</v>
      </c>
      <c r="AA96" s="61" t="inlineStr">
        <is>
          <t>Botanic Backyard Bar &amp; Restaurant</t>
        </is>
      </c>
      <c r="AB96" s="63" t="n">
        <v>2355</v>
      </c>
      <c r="AC96" s="61" t="inlineStr">
        <is>
          <t>ร้านอาหาร</t>
        </is>
      </c>
      <c r="AD96" s="61" t="inlineStr">
        <is>
          <t>Google Maps (รายวัน)</t>
        </is>
      </c>
      <c r="AE96" s="61" t="inlineStr">
        <is>
          <t>ทุกวัน 10:00-24:00 (เสาร์)</t>
        </is>
      </c>
      <c r="AF96" s="61" t="inlineStr">
        <is>
          <t>ประมาณการจากประเภทร้าน/ทำเล (ยังไม่ยืนยัน)</t>
        </is>
      </c>
      <c r="AG96" s="63" t="n"/>
      <c r="AH96" s="61" t="inlineStr">
        <is>
          <t>25/1 ตรอกชนะสงคราม ซ.รามบุตรี หลังวัดชนะสงคราม</t>
        </is>
      </c>
      <c r="AI96" s="61" t="inlineStr">
        <is>
          <t>+66 89 973 9918</t>
        </is>
      </c>
      <c r="AJ96" s="61" t="inlineStr">
        <is>
          <t>ChIJMwd7y3-Z4jAR6jv3ZlUVEC0</t>
        </is>
      </c>
      <c r="AK96" s="64" t="inlineStr">
        <is>
          <t>เปิดแผนที่ ↗</t>
        </is>
      </c>
    </row>
    <row r="97" ht="20" customHeight="1">
      <c r="A97" s="50" t="inlineStr">
        <is>
          <t>bangkok-restaurant-petit-soleil</t>
        </is>
      </c>
      <c r="B97" s="51" t="inlineStr">
        <is>
          <t>restaurant</t>
        </is>
      </c>
      <c r="C97" s="52" t="inlineStr">
        <is>
          <t>Petit Soleil</t>
        </is>
      </c>
      <c r="D97" s="53" t="inlineStr">
        <is>
          <t>บางลำพู</t>
        </is>
      </c>
      <c r="E97" s="54" t="n">
        <v>13.76237</v>
      </c>
      <c r="F97" s="55" t="n">
        <v>100.49321</v>
      </c>
      <c r="G97" s="56" t="inlineStr">
        <is>
          <t>cafe</t>
        </is>
      </c>
      <c r="H97" s="51" t="n">
        <v>2</v>
      </c>
      <c r="I97" s="57" t="n">
        <v>4.6</v>
      </c>
      <c r="J97" s="58" t="inlineStr">
        <is>
          <t>07:00-19:00</t>
        </is>
      </c>
      <c r="K97" s="51" t="inlineStr">
        <is>
          <t>07:00-19:00</t>
        </is>
      </c>
      <c r="L97" s="51" t="inlineStr">
        <is>
          <t>07:00-19:00</t>
        </is>
      </c>
      <c r="M97" s="51" t="inlineStr">
        <is>
          <t>07:00-19:00</t>
        </is>
      </c>
      <c r="N97" s="51" t="inlineStr">
        <is>
          <t>07:00-19:00</t>
        </is>
      </c>
      <c r="O97" s="51" t="inlineStr">
        <is>
          <t>07:00-19:00</t>
        </is>
      </c>
      <c r="P97" s="51" t="inlineStr">
        <is>
          <t>07:00-19:00</t>
        </is>
      </c>
      <c r="Q97" s="58" t="n">
        <v>45</v>
      </c>
      <c r="R97" s="59" t="n">
        <v>0</v>
      </c>
      <c r="S97" s="53" t="inlineStr">
        <is>
          <t>คาเฟ่และอาหารเช้าสไตล์ฝรั่งเศสบนถนนพระอาทิตย์</t>
        </is>
      </c>
      <c r="T97" s="51" t="n"/>
      <c r="U97" s="58" t="inlineStr">
        <is>
          <t>Y</t>
        </is>
      </c>
      <c r="V97" s="53" t="n"/>
      <c r="W97" s="53" t="n"/>
      <c r="X97" s="60" t="inlineStr">
        <is>
          <t>ร้านเครื่องดื่ม</t>
        </is>
      </c>
      <c r="Y97" s="61" t="inlineStr">
        <is>
          <t>ย่านพระอาทิตย์ (ถ.พระอาทิตย์ บางลำพู)</t>
        </is>
      </c>
      <c r="Z97" s="62" t="n">
        <v>0.17</v>
      </c>
      <c r="AA97" s="61" t="inlineStr">
        <is>
          <t>เปอติด์ โซเลย์</t>
        </is>
      </c>
      <c r="AB97" s="63" t="n">
        <v>633</v>
      </c>
      <c r="AC97" s="61" t="inlineStr">
        <is>
          <t>ร้านกาแฟ</t>
        </is>
      </c>
      <c r="AD97" s="61" t="inlineStr">
        <is>
          <t>Google Maps (รายวัน)</t>
        </is>
      </c>
      <c r="AE97" s="61" t="inlineStr">
        <is>
          <t>ทุกวัน 07:00-19:00 (เสาร์)</t>
        </is>
      </c>
      <c r="AF97" s="61" t="inlineStr">
        <is>
          <t>ประมาณการจากประเภทร้าน/ทำเล (ยังไม่ยืนยัน)</t>
        </is>
      </c>
      <c r="AG97" s="63" t="n"/>
      <c r="AH97" s="61" t="inlineStr">
        <is>
          <t>23 ถ.พระอาทิตย์ ชนะสงคราม พระนคร</t>
        </is>
      </c>
      <c r="AI97" s="61" t="inlineStr">
        <is>
          <t>+66 86 303 2811</t>
        </is>
      </c>
      <c r="AJ97" s="61" t="inlineStr">
        <is>
          <t>ChIJO7ptd-OZ4jARRc08spnhUY4</t>
        </is>
      </c>
      <c r="AK97" s="64" t="inlineStr">
        <is>
          <t>เปิดแผนที่ ↗</t>
        </is>
      </c>
    </row>
    <row r="98" ht="20" customHeight="1">
      <c r="A98" s="50" t="inlineStr">
        <is>
          <t>bangkok-restaurant-the-sourdough-club</t>
        </is>
      </c>
      <c r="B98" s="51" t="inlineStr">
        <is>
          <t>restaurant</t>
        </is>
      </c>
      <c r="C98" s="52" t="inlineStr">
        <is>
          <t>The Sourdough Club</t>
        </is>
      </c>
      <c r="D98" s="53" t="inlineStr">
        <is>
          <t>บางลำพู</t>
        </is>
      </c>
      <c r="E98" s="54" t="n">
        <v>13.76353</v>
      </c>
      <c r="F98" s="55" t="n">
        <v>100.49425</v>
      </c>
      <c r="G98" s="56" t="inlineStr">
        <is>
          <t>cafe</t>
        </is>
      </c>
      <c r="H98" s="51" t="n">
        <v>2</v>
      </c>
      <c r="I98" s="57" t="n">
        <v>4.7</v>
      </c>
      <c r="J98" s="58" t="inlineStr">
        <is>
          <t>10:00-17:00</t>
        </is>
      </c>
      <c r="K98" s="51" t="inlineStr">
        <is>
          <t>10:00-17:00</t>
        </is>
      </c>
      <c r="L98" s="51" t="inlineStr">
        <is>
          <t>10:00-17:00</t>
        </is>
      </c>
      <c r="M98" s="51" t="inlineStr">
        <is>
          <t>10:00-17:00</t>
        </is>
      </c>
      <c r="N98" s="51" t="inlineStr">
        <is>
          <t>10:00-17:00</t>
        </is>
      </c>
      <c r="O98" s="51" t="inlineStr">
        <is>
          <t>08:00-17:00</t>
        </is>
      </c>
      <c r="P98" s="51" t="inlineStr">
        <is>
          <t>08:00-17:00</t>
        </is>
      </c>
      <c r="Q98" s="58" t="n">
        <v>30</v>
      </c>
      <c r="R98" s="59" t="n">
        <v>0</v>
      </c>
      <c r="S98" s="53" t="inlineStr">
        <is>
          <t>ร้านขนมปังซาวร์โดว์และกาแฟบนถนนพระอาทิตย์</t>
        </is>
      </c>
      <c r="T98" s="51" t="n"/>
      <c r="U98" s="58" t="inlineStr">
        <is>
          <t>N</t>
        </is>
      </c>
      <c r="V98" s="53" t="n"/>
      <c r="W98" s="53" t="inlineStr">
        <is>
          <t>เวลาจริงไม่ใช่ "ทุกวัน" ตามตารางเดิม (เดิมเช็กแค่วันเสาร์)</t>
        </is>
      </c>
      <c r="X98" s="60" t="inlineStr">
        <is>
          <t>ร้านเครื่องดื่ม</t>
        </is>
      </c>
      <c r="Y98" s="61" t="inlineStr">
        <is>
          <t>ย่านพระอาทิตย์ (ถ.พระอาทิตย์ บางลำพู)</t>
        </is>
      </c>
      <c r="Z98" s="62" t="n">
        <v>0.05</v>
      </c>
      <c r="AA98" s="61" t="inlineStr">
        <is>
          <t>The Sourdough Club</t>
        </is>
      </c>
      <c r="AB98" s="63" t="n">
        <v>63</v>
      </c>
      <c r="AC98" s="61" t="inlineStr">
        <is>
          <t>ร้านกาแฟ</t>
        </is>
      </c>
      <c r="AD98" s="61" t="inlineStr">
        <is>
          <t>Google Maps (รายวัน)</t>
        </is>
      </c>
      <c r="AE98" s="61" t="inlineStr">
        <is>
          <t>ทุกวัน 08:00-17:00 (เสาร์)</t>
        </is>
      </c>
      <c r="AF98" s="61" t="inlineStr">
        <is>
          <t>ประมาณการจากประเภทร้าน/ทำเล (ยังไม่ยืนยัน)</t>
        </is>
      </c>
      <c r="AG98" s="63" t="n"/>
      <c r="AH98" s="61" t="inlineStr">
        <is>
          <t>47 ถ.พระอาทิตย์ ชนะสงคราม พระนคร</t>
        </is>
      </c>
      <c r="AI98" s="61" t="inlineStr">
        <is>
          <t>+66 89 788 5222</t>
        </is>
      </c>
      <c r="AJ98" s="61" t="inlineStr">
        <is>
          <t>ChIJlYLfvU6Z4jARmwl8wPMYGCw</t>
        </is>
      </c>
      <c r="AK98" s="64" t="inlineStr">
        <is>
          <t>เปิดแผนที่ ↗</t>
        </is>
      </c>
    </row>
    <row r="99" ht="20" customHeight="1">
      <c r="A99" s="50" t="inlineStr">
        <is>
          <t>bangkok-restaurant-sheepshank-public-house</t>
        </is>
      </c>
      <c r="B99" s="51" t="inlineStr">
        <is>
          <t>restaurant</t>
        </is>
      </c>
      <c r="C99" s="52" t="inlineStr">
        <is>
          <t>Sheepshank Public House</t>
        </is>
      </c>
      <c r="D99" s="53" t="inlineStr">
        <is>
          <t>บางลำพู</t>
        </is>
      </c>
      <c r="E99" s="54" t="n">
        <v>13.76358</v>
      </c>
      <c r="F99" s="55" t="n">
        <v>100.49429</v>
      </c>
      <c r="G99" s="56" t="inlineStr">
        <is>
          <t>nightlife,viewpoint</t>
        </is>
      </c>
      <c r="H99" s="51" t="n">
        <v>3</v>
      </c>
      <c r="I99" s="57" t="n">
        <v>4.5</v>
      </c>
      <c r="J99" s="58" t="inlineStr">
        <is>
          <t>17:00-24:00</t>
        </is>
      </c>
      <c r="K99" s="51" t="inlineStr">
        <is>
          <t>11:00-24:00</t>
        </is>
      </c>
      <c r="L99" s="51" t="inlineStr">
        <is>
          <t>11:00-24:00</t>
        </is>
      </c>
      <c r="M99" s="51" t="inlineStr">
        <is>
          <t>11:00-24:00</t>
        </is>
      </c>
      <c r="N99" s="51" t="inlineStr">
        <is>
          <t>11:00-25:00</t>
        </is>
      </c>
      <c r="O99" s="51" t="inlineStr">
        <is>
          <t>11:00-25:00</t>
        </is>
      </c>
      <c r="P99" s="51" t="inlineStr">
        <is>
          <t>11:00-24:00</t>
        </is>
      </c>
      <c r="Q99" s="58" t="n">
        <v>75</v>
      </c>
      <c r="R99" s="59" t="n">
        <v>0</v>
      </c>
      <c r="S99" s="53" t="inlineStr">
        <is>
          <t>ผับและร้านอาหารริมแม่น้ำเจ้าพระยา ข้างท่าเรือพระอาทิตย์</t>
        </is>
      </c>
      <c r="T99" s="51" t="n"/>
      <c r="U99" s="58" t="inlineStr">
        <is>
          <t>Y</t>
        </is>
      </c>
      <c r="V99" s="53" t="n"/>
      <c r="W99" s="53" t="inlineStr">
        <is>
          <t>ปิดหลังเที่ยงคืน เขียนเวลาปิดเกิน 24:00 ตามรูปแบบ ClockTime; เวลาจริงไม่ใช่ "ทุกวัน" ตามตารางเดิม (เดิมเช็กแค่วันเสาร์)</t>
        </is>
      </c>
      <c r="X99" s="60" t="inlineStr">
        <is>
          <t>ร้านเครื่องดื่ม</t>
        </is>
      </c>
      <c r="Y99" s="61" t="inlineStr">
        <is>
          <t>ย่านพระอาทิตย์ (ถ.พระอาทิตย์ บางลำพู)</t>
        </is>
      </c>
      <c r="Z99" s="62" t="n">
        <v>0.05</v>
      </c>
      <c r="AA99" s="61" t="inlineStr">
        <is>
          <t>Sheepshank</t>
        </is>
      </c>
      <c r="AB99" s="63" t="n">
        <v>648</v>
      </c>
      <c r="AC99" s="61" t="inlineStr">
        <is>
          <t>ผับ, ร้านอาหาร</t>
        </is>
      </c>
      <c r="AD99" s="61" t="inlineStr">
        <is>
          <t>Google Maps (รายวัน)</t>
        </is>
      </c>
      <c r="AE99" s="61" t="inlineStr">
        <is>
          <t>ทุกวัน 11:00-01:00 (เสาร์)</t>
        </is>
      </c>
      <c r="AF99" s="61" t="inlineStr">
        <is>
          <t>ประมาณการจากประเภทร้าน/ทำเล (ยังไม่ยืนยัน)</t>
        </is>
      </c>
      <c r="AG99" s="63" t="n"/>
      <c r="AH99" s="61" t="inlineStr">
        <is>
          <t>47 ถ.พระอาทิตย์ ชนะสงคราม พระนคร</t>
        </is>
      </c>
      <c r="AI99" s="61" t="inlineStr">
        <is>
          <t>+66 2 629 5165</t>
        </is>
      </c>
      <c r="AJ99" s="61" t="inlineStr">
        <is>
          <t>ChIJSWv0PnKZ4jAR5t3IqO36gUA</t>
        </is>
      </c>
      <c r="AK99" s="64" t="inlineStr">
        <is>
          <t>เปิดแผนที่ ↗</t>
        </is>
      </c>
    </row>
    <row r="100" ht="20" customHeight="1">
      <c r="A100" s="50" t="inlineStr">
        <is>
          <t>bangkok-restaurant-coconut-culture-bangkok</t>
        </is>
      </c>
      <c r="B100" s="51" t="inlineStr">
        <is>
          <t>restaurant</t>
        </is>
      </c>
      <c r="C100" s="52" t="inlineStr">
        <is>
          <t>Coconut Culture Bangkok</t>
        </is>
      </c>
      <c r="D100" s="53" t="inlineStr">
        <is>
          <t>บางลำพู</t>
        </is>
      </c>
      <c r="E100" s="54" t="n">
        <v>13.76273</v>
      </c>
      <c r="F100" s="55" t="n">
        <v>100.49453</v>
      </c>
      <c r="G100" s="56" t="inlineStr">
        <is>
          <t>cafe</t>
        </is>
      </c>
      <c r="H100" s="51" t="n">
        <v>1</v>
      </c>
      <c r="I100" s="57" t="n">
        <v>4.3</v>
      </c>
      <c r="J100" s="58" t="inlineStr">
        <is>
          <t>10:00-20:00</t>
        </is>
      </c>
      <c r="K100" s="51" t="inlineStr">
        <is>
          <t>10:00-20:00</t>
        </is>
      </c>
      <c r="L100" s="51" t="inlineStr">
        <is>
          <t>10:00-20:00</t>
        </is>
      </c>
      <c r="M100" s="51" t="inlineStr">
        <is>
          <t>10:00-20:00</t>
        </is>
      </c>
      <c r="N100" s="51" t="inlineStr">
        <is>
          <t>10:00-20:00</t>
        </is>
      </c>
      <c r="O100" s="51" t="inlineStr">
        <is>
          <t>10:00-20:00</t>
        </is>
      </c>
      <c r="P100" s="51" t="inlineStr">
        <is>
          <t>10:00-20:00</t>
        </is>
      </c>
      <c r="Q100" s="58" t="n">
        <v>20</v>
      </c>
      <c r="R100" s="59" t="n">
        <v>0</v>
      </c>
      <c r="S100" s="53" t="inlineStr">
        <is>
          <t>ร้านไอศกรีมมะพร้าวบนถนนพระอาทิตย์</t>
        </is>
      </c>
      <c r="T100" s="51" t="n"/>
      <c r="U100" s="58" t="inlineStr">
        <is>
          <t>N</t>
        </is>
      </c>
      <c r="V100" s="53" t="n"/>
      <c r="W100" s="53" t="n"/>
      <c r="X100" s="60" t="inlineStr">
        <is>
          <t>ร้านของหวาน</t>
        </is>
      </c>
      <c r="Y100" s="61" t="inlineStr">
        <is>
          <t>ย่านพระอาทิตย์ (ถ.พระอาทิตย์ บางลำพู)</t>
        </is>
      </c>
      <c r="Z100" s="62" t="n">
        <v>0.05</v>
      </c>
      <c r="AA100" s="61" t="inlineStr">
        <is>
          <t>Coconut Culture Bangkok</t>
        </is>
      </c>
      <c r="AB100" s="63" t="n">
        <v>291</v>
      </c>
      <c r="AC100" s="61" t="inlineStr">
        <is>
          <t>ร้านไอศกรีม</t>
        </is>
      </c>
      <c r="AD100" s="61" t="inlineStr">
        <is>
          <t>Google Maps (รายวัน)</t>
        </is>
      </c>
      <c r="AE100" s="61" t="inlineStr">
        <is>
          <t>ทุกวัน 10:00-20:00 (เสาร์)</t>
        </is>
      </c>
      <c r="AF100" s="61" t="inlineStr">
        <is>
          <t>ประมาณการจากประเภทร้าน/ทำเล (ยังไม่ยืนยัน)</t>
        </is>
      </c>
      <c r="AG100" s="63" t="n"/>
      <c r="AH100" s="61" t="inlineStr">
        <is>
          <t>100/6 ถ.พระอาทิตย์ ชนะสงคราม พระนคร</t>
        </is>
      </c>
      <c r="AI100" s="61" t="inlineStr">
        <is>
          <t>+66 98 903 4714</t>
        </is>
      </c>
      <c r="AJ100" s="61" t="inlineStr">
        <is>
          <t>ChIJtdWsZleZ4jARJHddpcihlco</t>
        </is>
      </c>
      <c r="AK100" s="64" t="inlineStr">
        <is>
          <t>เปิดแผนที่ ↗</t>
        </is>
      </c>
    </row>
    <row r="101" ht="20" customHeight="1">
      <c r="A101" s="50" t="inlineStr">
        <is>
          <t>bangkok-restaurant-cit-coconut-ice-cream</t>
        </is>
      </c>
      <c r="B101" s="51" t="inlineStr">
        <is>
          <t>restaurant</t>
        </is>
      </c>
      <c r="C101" s="52" t="inlineStr">
        <is>
          <t>CIT Coconut Ice Cream</t>
        </is>
      </c>
      <c r="D101" s="53" t="inlineStr">
        <is>
          <t>บางลำพู</t>
        </is>
      </c>
      <c r="E101" s="54" t="n">
        <v>13.76327</v>
      </c>
      <c r="F101" s="55" t="n">
        <v>100.49467</v>
      </c>
      <c r="G101" s="56" t="inlineStr">
        <is>
          <t>cafe</t>
        </is>
      </c>
      <c r="H101" s="51" t="n">
        <v>1</v>
      </c>
      <c r="I101" s="57" t="n">
        <v>5</v>
      </c>
      <c r="J101" s="58" t="n"/>
      <c r="K101" s="51" t="inlineStr">
        <is>
          <t>11:56-17:30</t>
        </is>
      </c>
      <c r="L101" s="51" t="inlineStr">
        <is>
          <t>11:56-17:30</t>
        </is>
      </c>
      <c r="M101" s="51" t="inlineStr">
        <is>
          <t>11:56-17:30</t>
        </is>
      </c>
      <c r="N101" s="51" t="inlineStr">
        <is>
          <t>11:56-17:30</t>
        </is>
      </c>
      <c r="O101" s="51" t="inlineStr">
        <is>
          <t>10:00-17:30</t>
        </is>
      </c>
      <c r="P101" s="51" t="inlineStr">
        <is>
          <t>10:00-17:30</t>
        </is>
      </c>
      <c r="Q101" s="58" t="n">
        <v>20</v>
      </c>
      <c r="R101" s="59" t="n">
        <v>0</v>
      </c>
      <c r="S101" s="53" t="inlineStr">
        <is>
          <t>ร้านไอศกรีมมะพร้าวบนถนนพระอาทิตย์</t>
        </is>
      </c>
      <c r="T101" s="51" t="n"/>
      <c r="U101" s="58" t="inlineStr">
        <is>
          <t>N</t>
        </is>
      </c>
      <c r="V101" s="53" t="n"/>
      <c r="W101" s="53" t="n"/>
      <c r="X101" s="60" t="inlineStr">
        <is>
          <t>ร้านของหวาน</t>
        </is>
      </c>
      <c r="Y101" s="61" t="inlineStr">
        <is>
          <t>ย่านพระอาทิตย์ (ถ.พระอาทิตย์ บางลำพู)</t>
        </is>
      </c>
      <c r="Z101" s="62" t="n">
        <v>0.02</v>
      </c>
      <c r="AA101" s="61" t="inlineStr">
        <is>
          <t>CIT Coconut Ice Cream</t>
        </is>
      </c>
      <c r="AB101" s="63" t="n">
        <v>18</v>
      </c>
      <c r="AC101" s="61" t="inlineStr">
        <is>
          <t>ร้านไอศกรีม</t>
        </is>
      </c>
      <c r="AD101" s="61" t="inlineStr">
        <is>
          <t>Google Maps (รายวัน)</t>
        </is>
      </c>
      <c r="AE101" s="61" t="inlineStr">
        <is>
          <t>อ-อา 10:00-17:30 (ปิดจันทร์)</t>
        </is>
      </c>
      <c r="AF101" s="61" t="inlineStr">
        <is>
          <t>ประมาณการจากประเภทร้าน/ทำเล (ยังไม่ยืนยัน)</t>
        </is>
      </c>
      <c r="AG101" s="63" t="n"/>
      <c r="AH101" s="61" t="inlineStr">
        <is>
          <t>47/1 ถ.พระอาทิตย์ ชนะสงคราม พระนคร</t>
        </is>
      </c>
      <c r="AI101" s="61" t="n"/>
      <c r="AJ101" s="61" t="inlineStr">
        <is>
          <t>ChIJ39FsRACZ4jARUDpm-30ycuY</t>
        </is>
      </c>
      <c r="AK101" s="64" t="inlineStr">
        <is>
          <t>เปิดแผนที่ ↗</t>
        </is>
      </c>
    </row>
    <row r="102" ht="20" customHeight="1">
      <c r="A102" s="50" t="inlineStr">
        <is>
          <t>bangkok-restaurant-mae-ngamjit-thai-dessert</t>
        </is>
      </c>
      <c r="B102" s="51" t="inlineStr">
        <is>
          <t>restaurant</t>
        </is>
      </c>
      <c r="C102" s="52" t="inlineStr">
        <is>
          <t>ร้านขนมไทย แม่งามจิต บางลำพู</t>
        </is>
      </c>
      <c r="D102" s="53" t="inlineStr">
        <is>
          <t>บางลำพู</t>
        </is>
      </c>
      <c r="E102" s="54" t="n">
        <v>13.76255</v>
      </c>
      <c r="F102" s="55" t="n">
        <v>100.49794</v>
      </c>
      <c r="G102" s="56" t="inlineStr">
        <is>
          <t>localFood</t>
        </is>
      </c>
      <c r="H102" s="51" t="n">
        <v>1</v>
      </c>
      <c r="I102" s="57" t="n">
        <v>4.2</v>
      </c>
      <c r="J102" s="58" t="inlineStr">
        <is>
          <t>09:00-18:00</t>
        </is>
      </c>
      <c r="K102" s="51" t="inlineStr">
        <is>
          <t>09:00-18:00</t>
        </is>
      </c>
      <c r="L102" s="51" t="inlineStr">
        <is>
          <t>09:00-18:00</t>
        </is>
      </c>
      <c r="M102" s="51" t="inlineStr">
        <is>
          <t>09:00-18:00</t>
        </is>
      </c>
      <c r="N102" s="51" t="inlineStr">
        <is>
          <t>09:00-19:30</t>
        </is>
      </c>
      <c r="O102" s="51" t="inlineStr">
        <is>
          <t>09:00-18:00</t>
        </is>
      </c>
      <c r="P102" s="51" t="inlineStr">
        <is>
          <t>09:00-18:00</t>
        </is>
      </c>
      <c r="Q102" s="58" t="n">
        <v>20</v>
      </c>
      <c r="R102" s="59" t="n">
        <v>0</v>
      </c>
      <c r="S102" s="53" t="inlineStr">
        <is>
          <t>ร้านขนมไทยบนถนนพระสุเมรุ ย่านบางลำพู</t>
        </is>
      </c>
      <c r="T102" s="51" t="n"/>
      <c r="U102" s="58" t="inlineStr">
        <is>
          <t>N</t>
        </is>
      </c>
      <c r="V102" s="53" t="n"/>
      <c r="W102" s="53" t="inlineStr">
        <is>
          <t>เวลาจริงไม่ใช่ "ทุกวัน" ตามตารางเดิม (เดิมเช็กแค่วันเสาร์)</t>
        </is>
      </c>
      <c r="X102" s="60" t="inlineStr">
        <is>
          <t>ร้านของหวาน</t>
        </is>
      </c>
      <c r="Y102" s="61" t="inlineStr">
        <is>
          <t>ย่านพระอาทิตย์ (ถ.พระอาทิตย์ บางลำพู)</t>
        </is>
      </c>
      <c r="Z102" s="62" t="n">
        <v>0.38</v>
      </c>
      <c r="AA102" s="61" t="inlineStr">
        <is>
          <t>ร้านขนมไทย แม่งามจิต บางลำพู</t>
        </is>
      </c>
      <c r="AB102" s="63" t="n">
        <v>9</v>
      </c>
      <c r="AC102" s="61" t="inlineStr">
        <is>
          <t>ร้านของหวาน</t>
        </is>
      </c>
      <c r="AD102" s="61" t="inlineStr">
        <is>
          <t>Google Maps (รายวัน)</t>
        </is>
      </c>
      <c r="AE102" s="61" t="inlineStr">
        <is>
          <t>ทุกวัน 09:00-18:00 (เสาร์)</t>
        </is>
      </c>
      <c r="AF102" s="61" t="inlineStr">
        <is>
          <t>ประมาณการจากประเภทร้าน/ทำเล (ยังไม่ยืนยัน)</t>
        </is>
      </c>
      <c r="AG102" s="63" t="n"/>
      <c r="AH102" s="61" t="inlineStr">
        <is>
          <t>152 ถ.พระสุเมรุ ชนะสงคราม พระนคร</t>
        </is>
      </c>
      <c r="AI102" s="61" t="n"/>
      <c r="AJ102" s="61" t="inlineStr">
        <is>
          <t>ChIJwb40l2yZ4jAR1fitphBOjAU</t>
        </is>
      </c>
      <c r="AK102" s="64" t="inlineStr">
        <is>
          <t>เปิดแผนที่ ↗</t>
        </is>
      </c>
    </row>
    <row r="103" ht="20" customHeight="1">
      <c r="A103" s="50" t="inlineStr">
        <is>
          <t>bangkok-restaurant-pu-tie-wonton-noodles</t>
        </is>
      </c>
      <c r="B103" s="51" t="inlineStr">
        <is>
          <t>restaurant</t>
        </is>
      </c>
      <c r="C103" s="52" t="inlineStr">
        <is>
          <t>Pu Tie Shrimp Wonton Noodles (ปูตี๊ บะหมี่เกี๊ยวกุ้ง)</t>
        </is>
      </c>
      <c r="D103" s="53" t="inlineStr">
        <is>
          <t>สยาม/ปทุมวัน</t>
        </is>
      </c>
      <c r="E103" s="54" t="n">
        <v>13.74665</v>
      </c>
      <c r="F103" s="55" t="n">
        <v>100.53039</v>
      </c>
      <c r="G103" s="56" t="inlineStr">
        <is>
          <t>localFood</t>
        </is>
      </c>
      <c r="H103" s="51" t="n">
        <v>1</v>
      </c>
      <c r="I103" s="57" t="n">
        <v>4.7</v>
      </c>
      <c r="J103" s="58" t="n"/>
      <c r="K103" s="51" t="inlineStr">
        <is>
          <t>11:00-18:40</t>
        </is>
      </c>
      <c r="L103" s="51" t="inlineStr">
        <is>
          <t>11:00-18:40</t>
        </is>
      </c>
      <c r="M103" s="51" t="inlineStr">
        <is>
          <t>11:00-18:40</t>
        </is>
      </c>
      <c r="N103" s="51" t="inlineStr">
        <is>
          <t>11:00-18:40</t>
        </is>
      </c>
      <c r="O103" s="51" t="inlineStr">
        <is>
          <t>11:00-18:40</t>
        </is>
      </c>
      <c r="P103" s="51" t="inlineStr">
        <is>
          <t>11:00-18:40</t>
        </is>
      </c>
      <c r="Q103" s="58" t="n">
        <v>30</v>
      </c>
      <c r="R103" s="59" t="n">
        <v>0</v>
      </c>
      <c r="S103" s="53" t="inlineStr">
        <is>
          <t>ร้านบะหมี่เกี๊ยวกุ้งบนถนนพระราม 1 ใกล้หอศิลปฯ</t>
        </is>
      </c>
      <c r="T103" s="51" t="n"/>
      <c r="U103" s="58" t="inlineStr">
        <is>
          <t>Y</t>
        </is>
      </c>
      <c r="V103" s="53" t="n"/>
      <c r="W103" s="53" t="n"/>
      <c r="X103" s="60" t="inlineStr">
        <is>
          <t>ร้านอาหาร</t>
        </is>
      </c>
      <c r="Y103" s="61" t="inlineStr">
        <is>
          <t>หอศิลปวัฒนธรรมแห่งกรุงเทพมหานคร (BACC)</t>
        </is>
      </c>
      <c r="Z103" s="62" t="n">
        <v>0.02</v>
      </c>
      <c r="AA103" s="61" t="inlineStr">
        <is>
          <t>Pu Tie Shrimp Wonton Noodles</t>
        </is>
      </c>
      <c r="AB103" s="63" t="n">
        <v>216</v>
      </c>
      <c r="AC103" s="61" t="inlineStr">
        <is>
          <t>ภัตตาคารอาหารไทย</t>
        </is>
      </c>
      <c r="AD103" s="61" t="inlineStr">
        <is>
          <t>Google Maps (รายวัน)</t>
        </is>
      </c>
      <c r="AE103" s="61" t="inlineStr">
        <is>
          <t>อ-อา 11:00-18:40 (ปิดจันทร์)</t>
        </is>
      </c>
      <c r="AF103" s="61" t="inlineStr">
        <is>
          <t>ประมาณการจากประเภทร้าน/ทำเล (ยังไม่ยืนยัน)</t>
        </is>
      </c>
      <c r="AG103" s="63" t="n"/>
      <c r="AH103" s="61" t="inlineStr">
        <is>
          <t>933/1-7 ถ.พระราม 1 วังใหม่ ปทุมวัน</t>
        </is>
      </c>
      <c r="AI103" s="61" t="n"/>
      <c r="AJ103" s="61" t="inlineStr">
        <is>
          <t>ChIJOT6MWs2e4jARBD-fu38Nrho</t>
        </is>
      </c>
      <c r="AK103" s="64" t="inlineStr">
        <is>
          <t>เปิดแผนที่ ↗</t>
        </is>
      </c>
    </row>
    <row r="104" ht="20" customHeight="1">
      <c r="A104" s="50" t="inlineStr">
        <is>
          <t>bangkok-restaurant-krobkun-bacc</t>
        </is>
      </c>
      <c r="B104" s="51" t="inlineStr">
        <is>
          <t>restaurant</t>
        </is>
      </c>
      <c r="C104" s="52" t="inlineStr">
        <is>
          <t>KrobKun (กรอบคุณ) ชั้น 2 BACC</t>
        </is>
      </c>
      <c r="D104" s="53" t="inlineStr">
        <is>
          <t>สยาม/ปทุมวัน</t>
        </is>
      </c>
      <c r="E104" s="54" t="n">
        <v>13.74672</v>
      </c>
      <c r="F104" s="55" t="n">
        <v>100.53016</v>
      </c>
      <c r="G104" s="56" t="inlineStr">
        <is>
          <t>localFood,artCulture</t>
        </is>
      </c>
      <c r="H104" s="51" t="n">
        <v>2</v>
      </c>
      <c r="I104" s="57" t="n">
        <v>4.9</v>
      </c>
      <c r="J104" s="58" t="n"/>
      <c r="K104" s="51" t="inlineStr">
        <is>
          <t>11:00-18:30</t>
        </is>
      </c>
      <c r="L104" s="51" t="inlineStr">
        <is>
          <t>11:00-18:30</t>
        </is>
      </c>
      <c r="M104" s="51" t="inlineStr">
        <is>
          <t>11:00-18:30</t>
        </is>
      </c>
      <c r="N104" s="51" t="inlineStr">
        <is>
          <t>11:00-18:30</t>
        </is>
      </c>
      <c r="O104" s="51" t="inlineStr">
        <is>
          <t>11:00-18:30</t>
        </is>
      </c>
      <c r="P104" s="51" t="inlineStr">
        <is>
          <t>11:00-18:30</t>
        </is>
      </c>
      <c r="Q104" s="58" t="n">
        <v>45</v>
      </c>
      <c r="R104" s="59" t="n">
        <v>0</v>
      </c>
      <c r="S104" s="53" t="inlineStr">
        <is>
          <t>ร้านอาหารไทยชั้น 2 หอศิลปวัฒนธรรมแห่งกรุงเทพฯ</t>
        </is>
      </c>
      <c r="T104" s="51" t="n"/>
      <c r="U104" s="58" t="inlineStr">
        <is>
          <t>Y</t>
        </is>
      </c>
      <c r="V104" s="53" t="n"/>
      <c r="W104" s="53" t="n"/>
      <c r="X104" s="60" t="inlineStr">
        <is>
          <t>ร้านอาหาร</t>
        </is>
      </c>
      <c r="Y104" s="61" t="inlineStr">
        <is>
          <t>หอศิลปวัฒนธรรมแห่งกรุงเทพมหานคร (BACC)</t>
        </is>
      </c>
      <c r="Z104" s="62" t="n">
        <v>0.01</v>
      </c>
      <c r="AA104" s="61" t="inlineStr">
        <is>
          <t>กรอบกุน</t>
        </is>
      </c>
      <c r="AB104" s="63" t="n">
        <v>160</v>
      </c>
      <c r="AC104" s="61" t="inlineStr">
        <is>
          <t>ภัตตาคารอาหารไทย</t>
        </is>
      </c>
      <c r="AD104" s="61" t="inlineStr">
        <is>
          <t>Google Maps (รายวัน)</t>
        </is>
      </c>
      <c r="AE104" s="61" t="inlineStr">
        <is>
          <t>อ-อา 11:00-18:30 (ปิดจันทร์)</t>
        </is>
      </c>
      <c r="AF104" s="61" t="inlineStr">
        <is>
          <t>ประมาณการจากประเภทร้าน/ทำเล (ยังไม่ยืนยัน)</t>
        </is>
      </c>
      <c r="AG104" s="63" t="n"/>
      <c r="AH104" s="61" t="inlineStr">
        <is>
          <t>ชั้น 2 BACC 939 ถ.พระราม 1 วังใหม่ ปทุมวัน</t>
        </is>
      </c>
      <c r="AI104" s="61" t="inlineStr">
        <is>
          <t>+66 95 246 6942</t>
        </is>
      </c>
      <c r="AJ104" s="61" t="inlineStr">
        <is>
          <t>ChIJq5Vg_qyf4jARBngvlHb1nhQ</t>
        </is>
      </c>
      <c r="AK104" s="64" t="inlineStr">
        <is>
          <t>เปิดแผนที่ ↗</t>
        </is>
      </c>
    </row>
    <row r="105" ht="20" customHeight="1">
      <c r="A105" s="50" t="inlineStr">
        <is>
          <t>bangkok-restaurant-le-pla-daak-bacc</t>
        </is>
      </c>
      <c r="B105" s="51" t="inlineStr">
        <is>
          <t>restaurant</t>
        </is>
      </c>
      <c r="C105" s="52" t="inlineStr">
        <is>
          <t>Le Pla Daak (เลอปลาแดก) ชั้น 4 BACC</t>
        </is>
      </c>
      <c r="D105" s="53" t="inlineStr">
        <is>
          <t>สยาม/ปทุมวัน</t>
        </is>
      </c>
      <c r="E105" s="54" t="n">
        <v>13.74683</v>
      </c>
      <c r="F105" s="55" t="n">
        <v>100.53044</v>
      </c>
      <c r="G105" s="56" t="inlineStr">
        <is>
          <t>localFood</t>
        </is>
      </c>
      <c r="H105" s="51" t="n">
        <v>2</v>
      </c>
      <c r="I105" s="57" t="n">
        <v>4.5</v>
      </c>
      <c r="J105" s="58" t="n"/>
      <c r="K105" s="51" t="inlineStr">
        <is>
          <t>10:30-19:00</t>
        </is>
      </c>
      <c r="L105" s="51" t="inlineStr">
        <is>
          <t>10:30-19:00</t>
        </is>
      </c>
      <c r="M105" s="51" t="inlineStr">
        <is>
          <t>10:30-19:00</t>
        </is>
      </c>
      <c r="N105" s="51" t="inlineStr">
        <is>
          <t>10:30-19:00</t>
        </is>
      </c>
      <c r="O105" s="51" t="inlineStr">
        <is>
          <t>10:30-19:00</t>
        </is>
      </c>
      <c r="P105" s="51" t="inlineStr">
        <is>
          <t>10:30-19:00</t>
        </is>
      </c>
      <c r="Q105" s="58" t="n">
        <v>45</v>
      </c>
      <c r="R105" s="59" t="n">
        <v>0</v>
      </c>
      <c r="S105" s="53" t="inlineStr">
        <is>
          <t>ร้านอาหารอีสานร่วมสมัย ชั้น 4 หอศิลปวัฒนธรรมแห่งกรุงเทพฯ</t>
        </is>
      </c>
      <c r="T105" s="51" t="n"/>
      <c r="U105" s="58" t="inlineStr">
        <is>
          <t>Y</t>
        </is>
      </c>
      <c r="V105" s="53" t="n"/>
      <c r="W105" s="53" t="n"/>
      <c r="X105" s="60" t="inlineStr">
        <is>
          <t>ร้านอาหาร</t>
        </is>
      </c>
      <c r="Y105" s="61" t="inlineStr">
        <is>
          <t>หอศิลปวัฒนธรรมแห่งกรุงเทพมหานคร (BACC)</t>
        </is>
      </c>
      <c r="Z105" s="62" t="n">
        <v>0.03</v>
      </c>
      <c r="AA105" s="61" t="inlineStr">
        <is>
          <t>ร้านเลอปลาแดก</t>
        </is>
      </c>
      <c r="AB105" s="63" t="n">
        <v>47</v>
      </c>
      <c r="AC105" s="61" t="inlineStr">
        <is>
          <t>ภัตตาคารอาหารไทย</t>
        </is>
      </c>
      <c r="AD105" s="61" t="inlineStr">
        <is>
          <t>Google Maps (รายวัน)</t>
        </is>
      </c>
      <c r="AE105" s="61" t="inlineStr">
        <is>
          <t>อ-อา 10:30-19:00 (ปิดจันทร์)</t>
        </is>
      </c>
      <c r="AF105" s="61" t="inlineStr">
        <is>
          <t>ประมาณการจากประเภทร้าน/ทำเล (ยังไม่ยืนยัน)</t>
        </is>
      </c>
      <c r="AG105" s="63" t="n"/>
      <c r="AH105" s="61" t="inlineStr">
        <is>
          <t>ชั้น 4 BACC 939 ถ.พระราม 1 วังใหม่ ปทุมวัน</t>
        </is>
      </c>
      <c r="AI105" s="61" t="inlineStr">
        <is>
          <t>+66 95 390 9245</t>
        </is>
      </c>
      <c r="AJ105" s="61" t="inlineStr">
        <is>
          <t>ChIJx5kHh42f4jARhsqSPkVXyi8</t>
        </is>
      </c>
      <c r="AK105" s="64" t="inlineStr">
        <is>
          <t>เปิดแผนที่ ↗</t>
        </is>
      </c>
    </row>
    <row r="106" ht="20" customHeight="1">
      <c r="A106" s="50" t="inlineStr">
        <is>
          <t>bangkok-restaurant-gallery-drip-coffee</t>
        </is>
      </c>
      <c r="B106" s="51" t="inlineStr">
        <is>
          <t>restaurant</t>
        </is>
      </c>
      <c r="C106" s="52" t="inlineStr">
        <is>
          <t>Gallery Drip Coffee</t>
        </is>
      </c>
      <c r="D106" s="53" t="inlineStr">
        <is>
          <t>สยาม/ปทุมวัน</t>
        </is>
      </c>
      <c r="E106" s="54" t="n">
        <v>13.74669</v>
      </c>
      <c r="F106" s="55" t="n">
        <v>100.53043</v>
      </c>
      <c r="G106" s="56" t="inlineStr">
        <is>
          <t>cafe,artCulture</t>
        </is>
      </c>
      <c r="H106" s="51" t="n">
        <v>2</v>
      </c>
      <c r="I106" s="57" t="n">
        <v>4.6</v>
      </c>
      <c r="J106" s="58" t="n"/>
      <c r="K106" s="51" t="inlineStr">
        <is>
          <t>10:30-19:30</t>
        </is>
      </c>
      <c r="L106" s="51" t="inlineStr">
        <is>
          <t>10:30-19:30</t>
        </is>
      </c>
      <c r="M106" s="51" t="inlineStr">
        <is>
          <t>10:30-19:30</t>
        </is>
      </c>
      <c r="N106" s="51" t="inlineStr">
        <is>
          <t>10:30-19:30</t>
        </is>
      </c>
      <c r="O106" s="51" t="inlineStr">
        <is>
          <t>10:30-19:30</t>
        </is>
      </c>
      <c r="P106" s="51" t="inlineStr">
        <is>
          <t>10:30-19:30</t>
        </is>
      </c>
      <c r="Q106" s="58" t="n">
        <v>30</v>
      </c>
      <c r="R106" s="59" t="n">
        <v>0</v>
      </c>
      <c r="S106" s="53" t="inlineStr">
        <is>
          <t>ร้านกาแฟดริปในหอศิลปวัฒนธรรมแห่งกรุงเทพฯ</t>
        </is>
      </c>
      <c r="T106" s="51" t="n"/>
      <c r="U106" s="58" t="inlineStr">
        <is>
          <t>N</t>
        </is>
      </c>
      <c r="V106" s="53" t="n"/>
      <c r="W106" s="53" t="n"/>
      <c r="X106" s="60" t="inlineStr">
        <is>
          <t>ร้านเครื่องดื่ม</t>
        </is>
      </c>
      <c r="Y106" s="61" t="inlineStr">
        <is>
          <t>หอศิลปวัฒนธรรมแห่งกรุงเทพมหานคร (BACC)</t>
        </is>
      </c>
      <c r="Z106" s="62" t="n">
        <v>0.02</v>
      </c>
      <c r="AA106" s="61" t="inlineStr">
        <is>
          <t>แกลลอรี่ กาแฟดริป</t>
        </is>
      </c>
      <c r="AB106" s="63" t="n">
        <v>957</v>
      </c>
      <c r="AC106" s="61" t="inlineStr">
        <is>
          <t>ร้านกาแฟ, ร้านเบเกอรี่, ร้านขนมหวาน</t>
        </is>
      </c>
      <c r="AD106" s="61" t="inlineStr">
        <is>
          <t>Google Maps (รายวัน)</t>
        </is>
      </c>
      <c r="AE106" s="61" t="inlineStr">
        <is>
          <t>อ-อา 10:30-19:30 (ปิดจันทร์)</t>
        </is>
      </c>
      <c r="AF106" s="61" t="inlineStr">
        <is>
          <t>ประมาณการจากประเภทร้าน/ทำเล (ยังไม่ยืนยัน)</t>
        </is>
      </c>
      <c r="AG106" s="63" t="n"/>
      <c r="AH106" s="61" t="inlineStr">
        <is>
          <t>BACC 939 ถ.พระราม 1 วังใหม่ ปทุมวัน</t>
        </is>
      </c>
      <c r="AI106" s="61" t="inlineStr">
        <is>
          <t>+66 81 917 2131</t>
        </is>
      </c>
      <c r="AJ106" s="61" t="inlineStr">
        <is>
          <t>ChIJ6e7hT82e4jAR4HgD4RW37Tk</t>
        </is>
      </c>
      <c r="AK106" s="64" t="inlineStr">
        <is>
          <t>เปิดแผนที่ ↗</t>
        </is>
      </c>
    </row>
    <row r="107" ht="20" customHeight="1">
      <c r="A107" s="50" t="inlineStr">
        <is>
          <t>bangkok-restaurant-booms-bacc</t>
        </is>
      </c>
      <c r="B107" s="51" t="inlineStr">
        <is>
          <t>restaurant</t>
        </is>
      </c>
      <c r="C107" s="52" t="inlineStr">
        <is>
          <t>Booms (ชั้น 3 BACC)</t>
        </is>
      </c>
      <c r="D107" s="53" t="inlineStr">
        <is>
          <t>สยาม/ปทุมวัน</t>
        </is>
      </c>
      <c r="E107" s="54" t="n">
        <v>13.74677</v>
      </c>
      <c r="F107" s="55" t="n">
        <v>100.53037</v>
      </c>
      <c r="G107" s="56" t="inlineStr">
        <is>
          <t>cafe</t>
        </is>
      </c>
      <c r="H107" s="51" t="n">
        <v>2</v>
      </c>
      <c r="I107" s="57" t="n">
        <v>4.9</v>
      </c>
      <c r="J107" s="58" t="n"/>
      <c r="K107" s="51" t="inlineStr">
        <is>
          <t>10:00-19:00</t>
        </is>
      </c>
      <c r="L107" s="51" t="inlineStr">
        <is>
          <t>10:00-19:00</t>
        </is>
      </c>
      <c r="M107" s="51" t="inlineStr">
        <is>
          <t>10:00-19:00</t>
        </is>
      </c>
      <c r="N107" s="51" t="inlineStr">
        <is>
          <t>10:00-19:00</t>
        </is>
      </c>
      <c r="O107" s="51" t="inlineStr">
        <is>
          <t>10:00-19:00</t>
        </is>
      </c>
      <c r="P107" s="51" t="inlineStr">
        <is>
          <t>10:00-19:00</t>
        </is>
      </c>
      <c r="Q107" s="58" t="n">
        <v>30</v>
      </c>
      <c r="R107" s="59" t="n">
        <v>0</v>
      </c>
      <c r="S107" s="53" t="inlineStr">
        <is>
          <t>ร้านกาแฟชั้น 3 หอศิลปวัฒนธรรมแห่งกรุงเทพฯ</t>
        </is>
      </c>
      <c r="T107" s="51" t="n"/>
      <c r="U107" s="58" t="inlineStr">
        <is>
          <t>N</t>
        </is>
      </c>
      <c r="V107" s="53" t="n"/>
      <c r="W107" s="53" t="n"/>
      <c r="X107" s="60" t="inlineStr">
        <is>
          <t>ร้านเครื่องดื่ม</t>
        </is>
      </c>
      <c r="Y107" s="61" t="inlineStr">
        <is>
          <t>หอศิลปวัฒนธรรมแห่งกรุงเทพมหานคร (BACC)</t>
        </is>
      </c>
      <c r="Z107" s="62" t="n">
        <v>0.02</v>
      </c>
      <c r="AA107" s="61" t="inlineStr">
        <is>
          <t>Booms</t>
        </is>
      </c>
      <c r="AB107" s="63" t="n">
        <v>251</v>
      </c>
      <c r="AC107" s="61" t="inlineStr">
        <is>
          <t>ร้านกาแฟ</t>
        </is>
      </c>
      <c r="AD107" s="61" t="inlineStr">
        <is>
          <t>Google Maps (รายวัน)</t>
        </is>
      </c>
      <c r="AE107" s="61" t="inlineStr">
        <is>
          <t>อ-อา 10:00-19:00 (ปิดจันทร์)</t>
        </is>
      </c>
      <c r="AF107" s="61" t="inlineStr">
        <is>
          <t>ประมาณการจากประเภทร้าน/ทำเล (ยังไม่ยืนยัน)</t>
        </is>
      </c>
      <c r="AG107" s="63" t="n"/>
      <c r="AH107" s="61" t="inlineStr">
        <is>
          <t>ชั้น 3 BACC 939 ถ.พระราม 1 วังใหม่ ปทุมวัน</t>
        </is>
      </c>
      <c r="AI107" s="61" t="inlineStr">
        <is>
          <t>+66 92 394 5993</t>
        </is>
      </c>
      <c r="AJ107" s="61" t="inlineStr">
        <is>
          <t>ChIJvVfRke6Z4jARtfVQBDEcrGs</t>
        </is>
      </c>
      <c r="AK107" s="64" t="inlineStr">
        <is>
          <t>เปิดแผนที่ ↗</t>
        </is>
      </c>
    </row>
    <row r="108" ht="20" customHeight="1">
      <c r="A108" s="50" t="inlineStr">
        <is>
          <t>bangkok-restaurant-libi-home</t>
        </is>
      </c>
      <c r="B108" s="51" t="inlineStr">
        <is>
          <t>restaurant</t>
        </is>
      </c>
      <c r="C108" s="52" t="inlineStr">
        <is>
          <t>LIBI HOME</t>
        </is>
      </c>
      <c r="D108" s="53" t="inlineStr">
        <is>
          <t>สยาม/ปทุมวัน</t>
        </is>
      </c>
      <c r="E108" s="54" t="n">
        <v>13.74845</v>
      </c>
      <c r="F108" s="55" t="n">
        <v>100.52875</v>
      </c>
      <c r="G108" s="56" t="inlineStr">
        <is>
          <t>cafe</t>
        </is>
      </c>
      <c r="H108" s="51" t="n">
        <v>2</v>
      </c>
      <c r="I108" s="57" t="n">
        <v>4.5</v>
      </c>
      <c r="J108" s="58" t="inlineStr">
        <is>
          <t>09:00-18:00</t>
        </is>
      </c>
      <c r="K108" s="51" t="inlineStr">
        <is>
          <t>09:00-13:00</t>
        </is>
      </c>
      <c r="L108" s="51" t="inlineStr">
        <is>
          <t>09:00-18:00</t>
        </is>
      </c>
      <c r="M108" s="51" t="inlineStr">
        <is>
          <t>09:00-18:00</t>
        </is>
      </c>
      <c r="N108" s="51" t="inlineStr">
        <is>
          <t>09:00-18:00</t>
        </is>
      </c>
      <c r="O108" s="51" t="inlineStr">
        <is>
          <t>09:00-18:00</t>
        </is>
      </c>
      <c r="P108" s="51" t="inlineStr">
        <is>
          <t>09:00-18:00</t>
        </is>
      </c>
      <c r="Q108" s="58" t="n">
        <v>30</v>
      </c>
      <c r="R108" s="59" t="n">
        <v>0</v>
      </c>
      <c r="S108" s="53" t="inlineStr">
        <is>
          <t>คาเฟ่ในซอยเกษมสันต์ 2 ใกล้สนามกีฬาแห่งชาติ</t>
        </is>
      </c>
      <c r="T108" s="51" t="n"/>
      <c r="U108" s="58" t="inlineStr">
        <is>
          <t>N</t>
        </is>
      </c>
      <c r="V108" s="53" t="n"/>
      <c r="W108" s="53" t="inlineStr">
        <is>
          <t>เวลาจริงไม่ใช่ "ทุกวัน" ตามตารางเดิม (เดิมเช็กแค่วันเสาร์)</t>
        </is>
      </c>
      <c r="X108" s="60" t="inlineStr">
        <is>
          <t>ร้านเครื่องดื่ม</t>
        </is>
      </c>
      <c r="Y108" s="61" t="inlineStr">
        <is>
          <t>หอศิลปวัฒนธรรมแห่งกรุงเทพมหานคร (BACC)</t>
        </is>
      </c>
      <c r="Z108" s="62" t="n">
        <v>0.25</v>
      </c>
      <c r="AA108" s="61" t="inlineStr">
        <is>
          <t>ลิบิโฮม</t>
        </is>
      </c>
      <c r="AB108" s="63" t="n">
        <v>271</v>
      </c>
      <c r="AC108" s="61" t="inlineStr">
        <is>
          <t>ร้านกาแฟ</t>
        </is>
      </c>
      <c r="AD108" s="61" t="inlineStr">
        <is>
          <t>Google Maps (รายวัน)</t>
        </is>
      </c>
      <c r="AE108" s="61" t="inlineStr">
        <is>
          <t>ทุกวัน 09:00-18:00 (เสาร์)</t>
        </is>
      </c>
      <c r="AF108" s="61" t="inlineStr">
        <is>
          <t>ประมาณการจากประเภทร้าน/ทำเล (ยังไม่ยืนยัน)</t>
        </is>
      </c>
      <c r="AG108" s="63" t="n"/>
      <c r="AH108" s="61" t="inlineStr">
        <is>
          <t>9 ซ.เกษมสันต์ 2 วังใหม่ ปทุมวัน</t>
        </is>
      </c>
      <c r="AI108" s="61" t="inlineStr">
        <is>
          <t>+66 82 919 1591</t>
        </is>
      </c>
      <c r="AJ108" s="61" t="inlineStr">
        <is>
          <t>ChIJtbPNdyeZ4jAREEaHyqnCwQQ</t>
        </is>
      </c>
      <c r="AK108" s="64" t="inlineStr">
        <is>
          <t>เปิดแผนที่ ↗</t>
        </is>
      </c>
    </row>
    <row r="109" ht="20" customHeight="1">
      <c r="A109" s="50" t="inlineStr">
        <is>
          <t>bangkok-restaurant-kanomsiam-siam-paragon</t>
        </is>
      </c>
      <c r="B109" s="51" t="inlineStr">
        <is>
          <t>restaurant</t>
        </is>
      </c>
      <c r="C109" s="52" t="inlineStr">
        <is>
          <t>kanomsiam Siam Paragon (ขนมสยาม)</t>
        </is>
      </c>
      <c r="D109" s="53" t="inlineStr">
        <is>
          <t>สยาม/ปทุมวัน</t>
        </is>
      </c>
      <c r="E109" s="54" t="n">
        <v>13.74682</v>
      </c>
      <c r="F109" s="55" t="n">
        <v>100.53509</v>
      </c>
      <c r="G109" s="56" t="inlineStr">
        <is>
          <t>localFood</t>
        </is>
      </c>
      <c r="H109" s="51" t="n">
        <v>2</v>
      </c>
      <c r="I109" s="57" t="n">
        <v>4.7</v>
      </c>
      <c r="J109" s="58" t="inlineStr">
        <is>
          <t>10:00-22:00</t>
        </is>
      </c>
      <c r="K109" s="51" t="inlineStr">
        <is>
          <t>10:00-22:00</t>
        </is>
      </c>
      <c r="L109" s="51" t="inlineStr">
        <is>
          <t>10:00-22:00</t>
        </is>
      </c>
      <c r="M109" s="51" t="inlineStr">
        <is>
          <t>10:00-22:00</t>
        </is>
      </c>
      <c r="N109" s="51" t="inlineStr">
        <is>
          <t>10:00-22:00</t>
        </is>
      </c>
      <c r="O109" s="51" t="inlineStr">
        <is>
          <t>10:00-22:00</t>
        </is>
      </c>
      <c r="P109" s="51" t="inlineStr">
        <is>
          <t>10:00-22:00</t>
        </is>
      </c>
      <c r="Q109" s="58" t="n">
        <v>20</v>
      </c>
      <c r="R109" s="59" t="n">
        <v>0</v>
      </c>
      <c r="S109" s="53" t="inlineStr">
        <is>
          <t>ร้านขนมไทยชั้น G สยามพารากอน</t>
        </is>
      </c>
      <c r="T109" s="51" t="n"/>
      <c r="U109" s="58" t="inlineStr">
        <is>
          <t>N</t>
        </is>
      </c>
      <c r="V109" s="53" t="n"/>
      <c r="W109" s="53" t="n"/>
      <c r="X109" s="60" t="inlineStr">
        <is>
          <t>ร้านของหวาน</t>
        </is>
      </c>
      <c r="Y109" s="61" t="inlineStr">
        <is>
          <t>หอศิลปวัฒนธรรมแห่งกรุงเทพมหานคร (BACC)</t>
        </is>
      </c>
      <c r="Z109" s="62" t="n">
        <v>0.53</v>
      </c>
      <c r="AA109" s="61" t="inlineStr">
        <is>
          <t>kanomsiam Siam Paragon (ขนมสยาม สยามพารากอน)</t>
        </is>
      </c>
      <c r="AB109" s="63" t="n">
        <v>292</v>
      </c>
      <c r="AC109" s="61" t="inlineStr">
        <is>
          <t>ร้านของหวาน, ร้านขนมหวาน</t>
        </is>
      </c>
      <c r="AD109" s="61" t="inlineStr">
        <is>
          <t>Google Maps (รายวัน)</t>
        </is>
      </c>
      <c r="AE109" s="61" t="inlineStr">
        <is>
          <t>ทุกวัน 10:00-22:00 (เสาร์)</t>
        </is>
      </c>
      <c r="AF109" s="61" t="inlineStr">
        <is>
          <t>ประมาณการจากประเภทร้าน/ทำเล (ยังไม่ยืนยัน)</t>
        </is>
      </c>
      <c r="AG109" s="63" t="n"/>
      <c r="AH109" s="61" t="inlineStr">
        <is>
          <t>ชั้น G สยามพารากอน 991 ถ.พระราม 1 ปทุมวัน</t>
        </is>
      </c>
      <c r="AI109" s="61" t="inlineStr">
        <is>
          <t>+66 62 936 5392</t>
        </is>
      </c>
      <c r="AJ109" s="61" t="inlineStr">
        <is>
          <t>ChIJ7c1QQqOZ4jARG6a6kPo38oo</t>
        </is>
      </c>
      <c r="AK109" s="64" t="inlineStr">
        <is>
          <t>เปิดแผนที่ ↗</t>
        </is>
      </c>
    </row>
    <row r="110" ht="20" customHeight="1">
      <c r="A110" s="50" t="inlineStr">
        <is>
          <t>bangkok-restaurant-mil-toast-house-siam-square</t>
        </is>
      </c>
      <c r="B110" s="51" t="inlineStr">
        <is>
          <t>restaurant</t>
        </is>
      </c>
      <c r="C110" s="52" t="inlineStr">
        <is>
          <t>Mil Toast House - Siam Square Soi 3</t>
        </is>
      </c>
      <c r="D110" s="53" t="inlineStr">
        <is>
          <t>สยาม/ปทุมวัน</t>
        </is>
      </c>
      <c r="E110" s="54" t="n">
        <v>13.74487</v>
      </c>
      <c r="F110" s="55" t="n">
        <v>100.53292</v>
      </c>
      <c r="G110" s="56" t="inlineStr">
        <is>
          <t>cafe</t>
        </is>
      </c>
      <c r="H110" s="51" t="n">
        <v>2</v>
      </c>
      <c r="I110" s="57" t="n">
        <v>4.3</v>
      </c>
      <c r="J110" s="58" t="inlineStr">
        <is>
          <t>10:00-23:00</t>
        </is>
      </c>
      <c r="K110" s="51" t="inlineStr">
        <is>
          <t>10:00-23:00</t>
        </is>
      </c>
      <c r="L110" s="51" t="inlineStr">
        <is>
          <t>10:00-23:00</t>
        </is>
      </c>
      <c r="M110" s="51" t="inlineStr">
        <is>
          <t>10:00-23:00</t>
        </is>
      </c>
      <c r="N110" s="51" t="inlineStr">
        <is>
          <t>10:00-23:00</t>
        </is>
      </c>
      <c r="O110" s="51" t="inlineStr">
        <is>
          <t>10:00-23:00</t>
        </is>
      </c>
      <c r="P110" s="51" t="inlineStr">
        <is>
          <t>10:00-23:00</t>
        </is>
      </c>
      <c r="Q110" s="58" t="n">
        <v>45</v>
      </c>
      <c r="R110" s="59" t="n">
        <v>0</v>
      </c>
      <c r="S110" s="53" t="inlineStr">
        <is>
          <t>ร้านขนมปังโทสต์และของหวาน สยามสแควร์ซอย 3</t>
        </is>
      </c>
      <c r="T110" s="51" t="n"/>
      <c r="U110" s="58" t="inlineStr">
        <is>
          <t>N</t>
        </is>
      </c>
      <c r="V110" s="53" t="n"/>
      <c r="W110" s="53" t="n"/>
      <c r="X110" s="60" t="inlineStr">
        <is>
          <t>ร้านของหวาน</t>
        </is>
      </c>
      <c r="Y110" s="61" t="inlineStr">
        <is>
          <t>หอศิลปวัฒนธรรมแห่งกรุงเทพมหานคร (BACC)</t>
        </is>
      </c>
      <c r="Z110" s="62" t="n">
        <v>0.36</v>
      </c>
      <c r="AA110" s="61" t="inlineStr">
        <is>
          <t>Mil Toast House - Siam Square Soi 3</t>
        </is>
      </c>
      <c r="AB110" s="63" t="n">
        <v>2026</v>
      </c>
      <c r="AC110" s="61" t="inlineStr">
        <is>
          <t>ร้านเบเกอรี่, ร้านกาแฟ</t>
        </is>
      </c>
      <c r="AD110" s="61" t="inlineStr">
        <is>
          <t>Google Maps (รายวัน)</t>
        </is>
      </c>
      <c r="AE110" s="61" t="inlineStr">
        <is>
          <t>ทุกวัน 10:00-23:00 (เสาร์)</t>
        </is>
      </c>
      <c r="AF110" s="61" t="inlineStr">
        <is>
          <t>ประมาณการจากประเภทร้าน/ทำเล (ยังไม่ยืนยัน)</t>
        </is>
      </c>
      <c r="AG110" s="63" t="n"/>
      <c r="AH110" s="61" t="inlineStr">
        <is>
          <t>สยามสแควร์ ซอย 3 ปทุมวัน</t>
        </is>
      </c>
      <c r="AI110" s="61" t="inlineStr">
        <is>
          <t>+66 94 898 9999</t>
        </is>
      </c>
      <c r="AJ110" s="61" t="inlineStr">
        <is>
          <t>ChIJxwnzCJKf4jARR8hWRCoTGvI</t>
        </is>
      </c>
      <c r="AK110" s="64" t="inlineStr">
        <is>
          <t>เปิดแผนที่ ↗</t>
        </is>
      </c>
    </row>
    <row r="111" ht="20" customHeight="1">
      <c r="A111" s="50" t="inlineStr">
        <is>
          <t>bangkok-restaurant-siam-pandan</t>
        </is>
      </c>
      <c r="B111" s="51" t="inlineStr">
        <is>
          <t>restaurant</t>
        </is>
      </c>
      <c r="C111" s="52" t="inlineStr">
        <is>
          <t>Siam Pandan</t>
        </is>
      </c>
      <c r="D111" s="53" t="inlineStr">
        <is>
          <t>สยาม/ปทุมวัน</t>
        </is>
      </c>
      <c r="E111" s="54" t="n">
        <v>13.74433</v>
      </c>
      <c r="F111" s="55" t="n">
        <v>100.53443</v>
      </c>
      <c r="G111" s="56" t="inlineStr">
        <is>
          <t>localFood</t>
        </is>
      </c>
      <c r="H111" s="51" t="n">
        <v>1</v>
      </c>
      <c r="I111" s="57" t="n">
        <v>4.3</v>
      </c>
      <c r="J111" s="58" t="inlineStr">
        <is>
          <t>10:30-20:00</t>
        </is>
      </c>
      <c r="K111" s="51" t="inlineStr">
        <is>
          <t>10:30-20:00</t>
        </is>
      </c>
      <c r="L111" s="51" t="inlineStr">
        <is>
          <t>10:30-20:00</t>
        </is>
      </c>
      <c r="M111" s="51" t="inlineStr">
        <is>
          <t>10:30-20:00</t>
        </is>
      </c>
      <c r="N111" s="51" t="inlineStr">
        <is>
          <t>10:30-20:00</t>
        </is>
      </c>
      <c r="O111" s="51" t="inlineStr">
        <is>
          <t>10:30-20:00</t>
        </is>
      </c>
      <c r="P111" s="51" t="inlineStr">
        <is>
          <t>10:30-20:00</t>
        </is>
      </c>
      <c r="Q111" s="58" t="n">
        <v>20</v>
      </c>
      <c r="R111" s="59" t="n">
        <v>0</v>
      </c>
      <c r="S111" s="53" t="inlineStr">
        <is>
          <t>ร้านขนมครกใบเตย สยามสแควร์ซอย 6</t>
        </is>
      </c>
      <c r="T111" s="51" t="n"/>
      <c r="U111" s="58" t="inlineStr">
        <is>
          <t>N</t>
        </is>
      </c>
      <c r="V111" s="53" t="n"/>
      <c r="W111" s="53" t="n"/>
      <c r="X111" s="60" t="inlineStr">
        <is>
          <t>ร้านของหวาน</t>
        </is>
      </c>
      <c r="Y111" s="61" t="inlineStr">
        <is>
          <t>หอศิลปวัฒนธรรมแห่งกรุงเทพมหานคร (BACC)</t>
        </is>
      </c>
      <c r="Z111" s="62" t="n">
        <v>0.53</v>
      </c>
      <c r="AA111" s="61" t="inlineStr">
        <is>
          <t>ขนมครกใบเตย สยามสแควร์ - Siam Pandan</t>
        </is>
      </c>
      <c r="AB111" s="63" t="n">
        <v>290</v>
      </c>
      <c r="AC111" s="61" t="inlineStr">
        <is>
          <t>ร้านเบเกอรี่</t>
        </is>
      </c>
      <c r="AD111" s="61" t="inlineStr">
        <is>
          <t>Google Maps (รายวัน)</t>
        </is>
      </c>
      <c r="AE111" s="61" t="inlineStr">
        <is>
          <t>ทุกวัน 10:30-20:00 (เสาร์)</t>
        </is>
      </c>
      <c r="AF111" s="61" t="inlineStr">
        <is>
          <t>ประมาณการจากประเภทร้าน/ทำเล (ยังไม่ยืนยัน)</t>
        </is>
      </c>
      <c r="AG111" s="63" t="n"/>
      <c r="AH111" s="61" t="inlineStr">
        <is>
          <t>สยามสแควร์ ซอย 6 ปทุมวัน</t>
        </is>
      </c>
      <c r="AI111" s="61" t="inlineStr">
        <is>
          <t>+66 86 563 1690</t>
        </is>
      </c>
      <c r="AJ111" s="61" t="inlineStr">
        <is>
          <t>ChIJ0xX1UNKe4jAR-WZptZL_-uk</t>
        </is>
      </c>
      <c r="AK111" s="64" t="inlineStr">
        <is>
          <t>เปิดแผนที่ ↗</t>
        </is>
      </c>
    </row>
    <row r="112" ht="20" customHeight="1">
      <c r="A112" s="50" t="inlineStr">
        <is>
          <t>bangkok-restaurant-sirimahannop</t>
        </is>
      </c>
      <c r="B112" s="51" t="inlineStr">
        <is>
          <t>restaurant</t>
        </is>
      </c>
      <c r="C112" s="52" t="inlineStr">
        <is>
          <t>Sirimahannop (ศิริมหานพ)</t>
        </is>
      </c>
      <c r="D112" s="53" t="inlineStr">
        <is>
          <t>ริมแม่น้ำเจ้าพระยา</t>
        </is>
      </c>
      <c r="E112" s="54" t="n">
        <v>13.70523</v>
      </c>
      <c r="F112" s="55" t="n">
        <v>100.50219</v>
      </c>
      <c r="G112" s="56" t="inlineStr">
        <is>
          <t>viewpoint,nightlife</t>
        </is>
      </c>
      <c r="H112" s="51" t="n">
        <v>4</v>
      </c>
      <c r="I112" s="57" t="n">
        <v>4.4</v>
      </c>
      <c r="J112" s="58" t="inlineStr">
        <is>
          <t>16:00-24:00</t>
        </is>
      </c>
      <c r="K112" s="51" t="inlineStr">
        <is>
          <t>16:00-24:00</t>
        </is>
      </c>
      <c r="L112" s="51" t="inlineStr">
        <is>
          <t>16:00-24:00</t>
        </is>
      </c>
      <c r="M112" s="51" t="inlineStr">
        <is>
          <t>16:00-24:00</t>
        </is>
      </c>
      <c r="N112" s="51" t="inlineStr">
        <is>
          <t>16:00-24:00</t>
        </is>
      </c>
      <c r="O112" s="51" t="inlineStr">
        <is>
          <t>16:00-24:00</t>
        </is>
      </c>
      <c r="P112" s="51" t="inlineStr">
        <is>
          <t>16:00-24:00</t>
        </is>
      </c>
      <c r="Q112" s="58" t="n">
        <v>90</v>
      </c>
      <c r="R112" s="59" t="n">
        <v>0</v>
      </c>
      <c r="S112" s="53" t="inlineStr">
        <is>
          <t>ห้องอาหารบนเรือใบจำลองริมแม่น้ำเจ้าพระยา ที่เอเชียทีค</t>
        </is>
      </c>
      <c r="T112" s="51" t="n"/>
      <c r="U112" s="58" t="inlineStr">
        <is>
          <t>Y</t>
        </is>
      </c>
      <c r="V112" s="53" t="n"/>
      <c r="W112" s="53" t="n"/>
      <c r="X112" s="60" t="inlineStr">
        <is>
          <t>ร้านอาหาร</t>
        </is>
      </c>
      <c r="Y112" s="61" t="inlineStr">
        <is>
          <t>Asiatique The Riverfront</t>
        </is>
      </c>
      <c r="Z112" s="62" t="n">
        <v>0.15</v>
      </c>
      <c r="AA112" s="61" t="inlineStr">
        <is>
          <t>สิริมหรรณพ</t>
        </is>
      </c>
      <c r="AB112" s="63" t="n">
        <v>824</v>
      </c>
      <c r="AC112" s="61" t="inlineStr">
        <is>
          <t>ร้านอาหารฟิวชั่นเอเชีย</t>
        </is>
      </c>
      <c r="AD112" s="61" t="inlineStr">
        <is>
          <t>Google Maps (รายวัน)</t>
        </is>
      </c>
      <c r="AE112" s="61" t="inlineStr">
        <is>
          <t>ทุกวัน 16:00-24:00 (เสาร์)</t>
        </is>
      </c>
      <c r="AF112" s="61" t="inlineStr">
        <is>
          <t>ประมาณการจากประเภทร้าน/ทำเล (ยังไม่ยืนยัน)</t>
        </is>
      </c>
      <c r="AG112" s="63" t="n"/>
      <c r="AH112" s="61" t="inlineStr">
        <is>
          <t>72 ถ.เจริญกรุง วัดพระยาไกร บางคอแหลม</t>
        </is>
      </c>
      <c r="AI112" s="61" t="inlineStr">
        <is>
          <t>+66 2 059 5999</t>
        </is>
      </c>
      <c r="AJ112" s="61" t="inlineStr">
        <is>
          <t>ChIJNxVoORuf4jARgnrw6F9dzdc</t>
        </is>
      </c>
      <c r="AK112" s="64" t="inlineStr">
        <is>
          <t>เปิดแผนที่ ↗</t>
        </is>
      </c>
    </row>
    <row r="113" ht="20" customHeight="1">
      <c r="A113" s="50" t="inlineStr">
        <is>
          <t>bangkok-restaurant-sail-to-the-moon-by-nakorn</t>
        </is>
      </c>
      <c r="B113" s="51" t="inlineStr">
        <is>
          <t>restaurant</t>
        </is>
      </c>
      <c r="C113" s="52" t="inlineStr">
        <is>
          <t>Sail To The Moon By Nakorn</t>
        </is>
      </c>
      <c r="D113" s="53" t="inlineStr">
        <is>
          <t>ริมแม่น้ำเจ้าพระยา</t>
        </is>
      </c>
      <c r="E113" s="54" t="n">
        <v>13.70483</v>
      </c>
      <c r="F113" s="55" t="n">
        <v>100.50211</v>
      </c>
      <c r="G113" s="56" t="inlineStr">
        <is>
          <t>localFood</t>
        </is>
      </c>
      <c r="H113" s="51" t="n">
        <v>2</v>
      </c>
      <c r="I113" s="57" t="n">
        <v>4</v>
      </c>
      <c r="J113" s="58" t="inlineStr">
        <is>
          <t>16:00-24:00</t>
        </is>
      </c>
      <c r="K113" s="51" t="inlineStr">
        <is>
          <t>16:00-24:00</t>
        </is>
      </c>
      <c r="L113" s="51" t="inlineStr">
        <is>
          <t>16:00-24:00</t>
        </is>
      </c>
      <c r="M113" s="51" t="inlineStr">
        <is>
          <t>16:00-24:00</t>
        </is>
      </c>
      <c r="N113" s="51" t="inlineStr">
        <is>
          <t>16:00-24:00</t>
        </is>
      </c>
      <c r="O113" s="51" t="inlineStr">
        <is>
          <t>16:00-24:00</t>
        </is>
      </c>
      <c r="P113" s="51" t="inlineStr">
        <is>
          <t>16:00-24:00</t>
        </is>
      </c>
      <c r="Q113" s="58" t="n">
        <v>60</v>
      </c>
      <c r="R113" s="59" t="n">
        <v>0</v>
      </c>
      <c r="S113" s="53" t="inlineStr">
        <is>
          <t>ร้านอาหารไทยในเอเชียทีค เดอะ ริเวอร์ฟร้อนท์</t>
        </is>
      </c>
      <c r="T113" s="51" t="n"/>
      <c r="U113" s="58" t="inlineStr">
        <is>
          <t>Y</t>
        </is>
      </c>
      <c r="V113" s="53" t="n"/>
      <c r="W113" s="53" t="n"/>
      <c r="X113" s="60" t="inlineStr">
        <is>
          <t>ร้านอาหาร</t>
        </is>
      </c>
      <c r="Y113" s="61" t="inlineStr">
        <is>
          <t>Asiatique The Riverfront</t>
        </is>
      </c>
      <c r="Z113" s="62" t="n">
        <v>0.13</v>
      </c>
      <c r="AA113" s="61" t="inlineStr">
        <is>
          <t>Sail To The Moon By Nakorn</t>
        </is>
      </c>
      <c r="AB113" s="63" t="n">
        <v>392</v>
      </c>
      <c r="AC113" s="61" t="inlineStr">
        <is>
          <t>ภัตตาคารอาหารไทย</t>
        </is>
      </c>
      <c r="AD113" s="61" t="inlineStr">
        <is>
          <t>Google Maps (รายวัน)</t>
        </is>
      </c>
      <c r="AE113" s="61" t="inlineStr">
        <is>
          <t>ทุกวัน 16:00-24:00 (เสาร์)</t>
        </is>
      </c>
      <c r="AF113" s="61" t="inlineStr">
        <is>
          <t>ประมาณการจากประเภทร้าน/ทำเล (ยังไม่ยืนยัน)</t>
        </is>
      </c>
      <c r="AG113" s="63" t="n"/>
      <c r="AH113" s="61" t="inlineStr">
        <is>
          <t>Asiatique 2194 ถ.เจริญกรุง บางคอแหลม</t>
        </is>
      </c>
      <c r="AI113" s="61" t="inlineStr">
        <is>
          <t>+66 82 887 2251</t>
        </is>
      </c>
      <c r="AJ113" s="61" t="inlineStr">
        <is>
          <t>ChIJHQAgyI2j4jARReexfH3uHeI</t>
        </is>
      </c>
      <c r="AK113" s="64" t="inlineStr">
        <is>
          <t>เปิดแผนที่ ↗</t>
        </is>
      </c>
    </row>
    <row r="114" ht="20" customHeight="1">
      <c r="A114" s="50" t="inlineStr">
        <is>
          <t>bangkok-restaurant-happy-fish-asiatique</t>
        </is>
      </c>
      <c r="B114" s="51" t="inlineStr">
        <is>
          <t>restaurant</t>
        </is>
      </c>
      <c r="C114" s="52" t="inlineStr">
        <is>
          <t>Happy Fish (โกดัง 8)</t>
        </is>
      </c>
      <c r="D114" s="53" t="inlineStr">
        <is>
          <t>ริมแม่น้ำเจ้าพระยา</t>
        </is>
      </c>
      <c r="E114" s="54" t="n">
        <v>13.70499</v>
      </c>
      <c r="F114" s="55" t="n">
        <v>100.50232</v>
      </c>
      <c r="G114" s="56" t="inlineStr">
        <is>
          <t>nightlife</t>
        </is>
      </c>
      <c r="H114" s="51" t="n">
        <v>2</v>
      </c>
      <c r="I114" s="57" t="n">
        <v>4.5</v>
      </c>
      <c r="J114" s="58" t="inlineStr">
        <is>
          <t>12:00-24:00</t>
        </is>
      </c>
      <c r="K114" s="51" t="inlineStr">
        <is>
          <t>12:00-24:00</t>
        </is>
      </c>
      <c r="L114" s="51" t="inlineStr">
        <is>
          <t>12:00-24:00</t>
        </is>
      </c>
      <c r="M114" s="51" t="inlineStr">
        <is>
          <t>12:00-24:00</t>
        </is>
      </c>
      <c r="N114" s="51" t="inlineStr">
        <is>
          <t>12:00-24:00</t>
        </is>
      </c>
      <c r="O114" s="51" t="inlineStr">
        <is>
          <t>12:00-24:00</t>
        </is>
      </c>
      <c r="P114" s="51" t="inlineStr">
        <is>
          <t>12:00-24:00</t>
        </is>
      </c>
      <c r="Q114" s="58" t="n">
        <v>60</v>
      </c>
      <c r="R114" s="59" t="n">
        <v>0</v>
      </c>
      <c r="S114" s="53" t="inlineStr">
        <is>
          <t>ร้านอาหารและบาร์ในโกดัง 8 เอเชียทีค</t>
        </is>
      </c>
      <c r="T114" s="51" t="n"/>
      <c r="U114" s="58" t="inlineStr">
        <is>
          <t>Y</t>
        </is>
      </c>
      <c r="V114" s="53" t="n"/>
      <c r="W114" s="53" t="n"/>
      <c r="X114" s="60" t="inlineStr">
        <is>
          <t>ร้านอาหาร</t>
        </is>
      </c>
      <c r="Y114" s="61" t="inlineStr">
        <is>
          <t>Asiatique The Riverfront</t>
        </is>
      </c>
      <c r="Z114" s="62" t="n">
        <v>0.12</v>
      </c>
      <c r="AA114" s="61" t="inlineStr">
        <is>
          <t>Happy Fish Asiatique</t>
        </is>
      </c>
      <c r="AB114" s="63" t="n">
        <v>3132</v>
      </c>
      <c r="AC114" s="61" t="inlineStr">
        <is>
          <t>ร้านอาหารฟิวชั่นเอเชีย, บาร์</t>
        </is>
      </c>
      <c r="AD114" s="61" t="inlineStr">
        <is>
          <t>Google Maps (รายวัน)</t>
        </is>
      </c>
      <c r="AE114" s="61" t="inlineStr">
        <is>
          <t>ทุกวัน 12:00-24:00 (เสาร์)</t>
        </is>
      </c>
      <c r="AF114" s="61" t="inlineStr">
        <is>
          <t>ประมาณการจากประเภทร้าน/ทำเล (ยังไม่ยืนยัน)</t>
        </is>
      </c>
      <c r="AG114" s="63" t="n"/>
      <c r="AH114" s="61" t="inlineStr">
        <is>
          <t>Asiatique โกดัง 8 2194 ถ.เจริญกรุง บางคอแหลม</t>
        </is>
      </c>
      <c r="AI114" s="61" t="inlineStr">
        <is>
          <t>+66 90 959 5969</t>
        </is>
      </c>
      <c r="AJ114" s="61" t="inlineStr">
        <is>
          <t>ChIJZS6MApeY4jARB4mNKlFwgaI</t>
        </is>
      </c>
      <c r="AK114" s="64" t="inlineStr">
        <is>
          <t>เปิดแผนที่ ↗</t>
        </is>
      </c>
    </row>
    <row r="115" ht="20" customHeight="1">
      <c r="A115" s="50" t="inlineStr">
        <is>
          <t>bangkok-restaurant-asiatique-ancient-tea-house</t>
        </is>
      </c>
      <c r="B115" s="51" t="inlineStr">
        <is>
          <t>restaurant</t>
        </is>
      </c>
      <c r="C115" s="52" t="inlineStr">
        <is>
          <t>Asiatique Ancient Tea House</t>
        </is>
      </c>
      <c r="D115" s="53" t="inlineStr">
        <is>
          <t>ริมแม่น้ำเจ้าพระยา</t>
        </is>
      </c>
      <c r="E115" s="54" t="n">
        <v>13.70536</v>
      </c>
      <c r="F115" s="55" t="n">
        <v>100.50284</v>
      </c>
      <c r="G115" s="56" t="inlineStr">
        <is>
          <t>localFood,nightlife</t>
        </is>
      </c>
      <c r="H115" s="51" t="n">
        <v>3</v>
      </c>
      <c r="I115" s="57" t="n">
        <v>4.5</v>
      </c>
      <c r="J115" s="58" t="inlineStr">
        <is>
          <t>12:00-24:00</t>
        </is>
      </c>
      <c r="K115" s="51" t="inlineStr">
        <is>
          <t>12:00-24:00</t>
        </is>
      </c>
      <c r="L115" s="51" t="inlineStr">
        <is>
          <t>12:00-24:00</t>
        </is>
      </c>
      <c r="M115" s="51" t="inlineStr">
        <is>
          <t>12:00-24:00</t>
        </is>
      </c>
      <c r="N115" s="51" t="inlineStr">
        <is>
          <t>12:00-24:00</t>
        </is>
      </c>
      <c r="O115" s="51" t="inlineStr">
        <is>
          <t>12:00-24:00</t>
        </is>
      </c>
      <c r="P115" s="51" t="inlineStr">
        <is>
          <t>12:00-24:00</t>
        </is>
      </c>
      <c r="Q115" s="58" t="n">
        <v>60</v>
      </c>
      <c r="R115" s="59" t="n">
        <v>0</v>
      </c>
      <c r="S115" s="53" t="inlineStr">
        <is>
          <t>ร้านอาหารจีนกวางตุ้ง ติ่มซำ และบาร์ค็อกเทล ใกล้เอเชียทีค</t>
        </is>
      </c>
      <c r="T115" s="51" t="n"/>
      <c r="U115" s="58" t="inlineStr">
        <is>
          <t>Y</t>
        </is>
      </c>
      <c r="V115" s="53" t="n"/>
      <c r="W115" s="53" t="n"/>
      <c r="X115" s="60" t="inlineStr">
        <is>
          <t>ร้านเครื่องดื่ม</t>
        </is>
      </c>
      <c r="Y115" s="61" t="inlineStr">
        <is>
          <t>Asiatique The Riverfront</t>
        </is>
      </c>
      <c r="Z115" s="62" t="n">
        <v>0.11</v>
      </c>
      <c r="AA115" s="61" t="inlineStr">
        <is>
          <t>Asiatique Ancient Tea House</t>
        </is>
      </c>
      <c r="AB115" s="63" t="n">
        <v>164</v>
      </c>
      <c r="AC115" s="61" t="inlineStr">
        <is>
          <t>ภัตตาคารอาหารจีน, ภัตตาคารอาหารจีนกวางตุ้ง, โรงน้ำชาจีน, บาร์ค็อกเทล, ภัตตาคารอาหารติ่มซำ, ร้านอาหาร</t>
        </is>
      </c>
      <c r="AD115" s="61" t="inlineStr">
        <is>
          <t>Google Maps (รายวัน)</t>
        </is>
      </c>
      <c r="AE115" s="61" t="inlineStr">
        <is>
          <t>ทุกวัน 12:00-24:00 (เสาร์)</t>
        </is>
      </c>
      <c r="AF115" s="61" t="inlineStr">
        <is>
          <t>ประมาณการจากประเภทร้าน/ทำเล (ยังไม่ยืนยัน)</t>
        </is>
      </c>
      <c r="AG115" s="63" t="n"/>
      <c r="AH115" s="61" t="inlineStr">
        <is>
          <t>76 ซ.เจริญกรุง 72 วัดพระยาไกร บางคอแหลม</t>
        </is>
      </c>
      <c r="AI115" s="61" t="inlineStr">
        <is>
          <t>+66 2 059 5999</t>
        </is>
      </c>
      <c r="AJ115" s="61" t="inlineStr">
        <is>
          <t>ChIJI1DGO3iZ4jARyhWXLVWyHog</t>
        </is>
      </c>
      <c r="AK115" s="64" t="inlineStr">
        <is>
          <t>เปิดแผนที่ ↗</t>
        </is>
      </c>
    </row>
    <row r="116" ht="20" customHeight="1">
      <c r="A116" s="50" t="inlineStr">
        <is>
          <t>bangkok-restaurant-la-fiore-cafe-asiatique</t>
        </is>
      </c>
      <c r="B116" s="51" t="inlineStr">
        <is>
          <t>restaurant</t>
        </is>
      </c>
      <c r="C116" s="52" t="inlineStr">
        <is>
          <t>La Fiore Cafe Asiatique</t>
        </is>
      </c>
      <c r="D116" s="53" t="inlineStr">
        <is>
          <t>ริมแม่น้ำเจ้าพระยา</t>
        </is>
      </c>
      <c r="E116" s="54" t="n">
        <v>13.70377</v>
      </c>
      <c r="F116" s="55" t="n">
        <v>100.50324</v>
      </c>
      <c r="G116" s="56" t="inlineStr">
        <is>
          <t>cafe</t>
        </is>
      </c>
      <c r="H116" s="51" t="n">
        <v>2</v>
      </c>
      <c r="I116" s="57" t="n">
        <v>4.4</v>
      </c>
      <c r="J116" s="58" t="inlineStr">
        <is>
          <t>14:00-24:00</t>
        </is>
      </c>
      <c r="K116" s="51" t="inlineStr">
        <is>
          <t>14:00-24:00</t>
        </is>
      </c>
      <c r="L116" s="51" t="inlineStr">
        <is>
          <t>14:00-24:00</t>
        </is>
      </c>
      <c r="M116" s="51" t="inlineStr">
        <is>
          <t>14:00-24:00</t>
        </is>
      </c>
      <c r="N116" s="51" t="inlineStr">
        <is>
          <t>14:00-24:00</t>
        </is>
      </c>
      <c r="O116" s="51" t="inlineStr">
        <is>
          <t>14:00-24:00</t>
        </is>
      </c>
      <c r="P116" s="51" t="inlineStr">
        <is>
          <t>14:00-24:00</t>
        </is>
      </c>
      <c r="Q116" s="58" t="n">
        <v>30</v>
      </c>
      <c r="R116" s="59" t="n">
        <v>0</v>
      </c>
      <c r="S116" s="53" t="inlineStr">
        <is>
          <t>คาเฟ่และของหวานในเอเชียทีค</t>
        </is>
      </c>
      <c r="T116" s="51" t="n"/>
      <c r="U116" s="58" t="inlineStr">
        <is>
          <t>N</t>
        </is>
      </c>
      <c r="V116" s="53" t="n"/>
      <c r="W116" s="53" t="n"/>
      <c r="X116" s="60" t="inlineStr">
        <is>
          <t>ร้านเครื่องดื่ม</t>
        </is>
      </c>
      <c r="Y116" s="61" t="inlineStr">
        <is>
          <t>Asiatique The Riverfront</t>
        </is>
      </c>
      <c r="Z116" s="62" t="n">
        <v>0.07000000000000001</v>
      </c>
      <c r="AA116" s="61" t="inlineStr">
        <is>
          <t>La Fiore Cafe Asiatique</t>
        </is>
      </c>
      <c r="AB116" s="63" t="n">
        <v>48</v>
      </c>
      <c r="AC116" s="61" t="inlineStr">
        <is>
          <t>ร้านกาแฟ, ร้านขนมหวาน</t>
        </is>
      </c>
      <c r="AD116" s="61" t="inlineStr">
        <is>
          <t>Google Maps (รายวัน)</t>
        </is>
      </c>
      <c r="AE116" s="61" t="inlineStr">
        <is>
          <t>ทุกวัน 14:00-24:00 (เสาร์)</t>
        </is>
      </c>
      <c r="AF116" s="61" t="inlineStr">
        <is>
          <t>ประมาณการจากประเภทร้าน/ทำเล (ยังไม่ยืนยัน)</t>
        </is>
      </c>
      <c r="AG116" s="63" t="n"/>
      <c r="AH116" s="61" t="inlineStr">
        <is>
          <t>Asiatique ชั้น 1 2194 ถ.เจริญกรุง บางคอแหลม</t>
        </is>
      </c>
      <c r="AI116" s="61" t="inlineStr">
        <is>
          <t>+66 94 346 5051</t>
        </is>
      </c>
      <c r="AJ116" s="61" t="inlineStr">
        <is>
          <t>ChIJP0Ls1z-Z4jARIa6TS6sI4Dk</t>
        </is>
      </c>
      <c r="AK116" s="64" t="inlineStr">
        <is>
          <t>เปิดแผนที่ ↗</t>
        </is>
      </c>
    </row>
    <row r="117" ht="20" customHeight="1">
      <c r="A117" s="50" t="inlineStr">
        <is>
          <t>bangkok-restaurant-starbucks-asiatique</t>
        </is>
      </c>
      <c r="B117" s="51" t="inlineStr">
        <is>
          <t>restaurant</t>
        </is>
      </c>
      <c r="C117" s="52" t="inlineStr">
        <is>
          <t>Starbucks @ Asiatique The Riverfront</t>
        </is>
      </c>
      <c r="D117" s="53" t="inlineStr">
        <is>
          <t>ริมแม่น้ำเจ้าพระยา</t>
        </is>
      </c>
      <c r="E117" s="54" t="n">
        <v>13.7037</v>
      </c>
      <c r="F117" s="55" t="n">
        <v>100.50398</v>
      </c>
      <c r="G117" s="56" t="inlineStr">
        <is>
          <t>cafe</t>
        </is>
      </c>
      <c r="H117" s="51" t="n">
        <v>2</v>
      </c>
      <c r="I117" s="57" t="n">
        <v>4.4</v>
      </c>
      <c r="J117" s="58" t="inlineStr">
        <is>
          <t>07:00-22:00</t>
        </is>
      </c>
      <c r="K117" s="51" t="inlineStr">
        <is>
          <t>07:00-22:00</t>
        </is>
      </c>
      <c r="L117" s="51" t="inlineStr">
        <is>
          <t>07:00-22:00</t>
        </is>
      </c>
      <c r="M117" s="51" t="inlineStr">
        <is>
          <t>07:00-22:00</t>
        </is>
      </c>
      <c r="N117" s="51" t="inlineStr">
        <is>
          <t>07:00-22:00</t>
        </is>
      </c>
      <c r="O117" s="51" t="inlineStr">
        <is>
          <t>08:00-22:00</t>
        </is>
      </c>
      <c r="P117" s="51" t="inlineStr">
        <is>
          <t>08:00-22:00</t>
        </is>
      </c>
      <c r="Q117" s="58" t="n">
        <v>30</v>
      </c>
      <c r="R117" s="59" t="n">
        <v>0</v>
      </c>
      <c r="S117" s="53" t="inlineStr">
        <is>
          <t>ร้านกาแฟสตาร์บัคส์ สาขาเอเชียทีค</t>
        </is>
      </c>
      <c r="T117" s="51" t="n"/>
      <c r="U117" s="58" t="inlineStr">
        <is>
          <t>N</t>
        </is>
      </c>
      <c r="V117" s="53" t="n"/>
      <c r="W117" s="53" t="inlineStr">
        <is>
          <t>เวลาจริงไม่ใช่ "ทุกวัน" ตามตารางเดิม (เดิมเช็กแค่วันเสาร์)</t>
        </is>
      </c>
      <c r="X117" s="60" t="inlineStr">
        <is>
          <t>ร้านเครื่องดื่ม</t>
        </is>
      </c>
      <c r="Y117" s="61" t="inlineStr">
        <is>
          <t>Asiatique The Riverfront</t>
        </is>
      </c>
      <c r="Z117" s="62" t="n">
        <v>0.11</v>
      </c>
      <c r="AA117" s="61" t="inlineStr">
        <is>
          <t>Starbucks @ Asiatique The Riverfront</t>
        </is>
      </c>
      <c r="AB117" s="63" t="n">
        <v>51</v>
      </c>
      <c r="AC117" s="61" t="inlineStr">
        <is>
          <t>ร้านกาแฟ</t>
        </is>
      </c>
      <c r="AD117" s="61" t="inlineStr">
        <is>
          <t>Google Maps (รายวัน)</t>
        </is>
      </c>
      <c r="AE117" s="61" t="inlineStr">
        <is>
          <t>ทุกวัน 08:00-22:00 (เสาร์)</t>
        </is>
      </c>
      <c r="AF117" s="61" t="inlineStr">
        <is>
          <t>ประมาณการจากประเภทร้าน/ทำเล (ยังไม่ยืนยัน)</t>
        </is>
      </c>
      <c r="AG117" s="63" t="n"/>
      <c r="AH117" s="61" t="inlineStr">
        <is>
          <t>Asiatique 2194 ถ.เจริญกรุง บางคอแหลม</t>
        </is>
      </c>
      <c r="AI117" s="61" t="n"/>
      <c r="AJ117" s="61" t="inlineStr">
        <is>
          <t>ChIJc8lMcQCZ4jARBg4bOgSFdtA</t>
        </is>
      </c>
      <c r="AK117" s="64" t="inlineStr">
        <is>
          <t>เปิดแผนที่ ↗</t>
        </is>
      </c>
    </row>
    <row r="118" ht="20" customHeight="1">
      <c r="A118" s="50" t="inlineStr">
        <is>
          <t>bangkok-restaurant-after-you-asiatique</t>
        </is>
      </c>
      <c r="B118" s="51" t="inlineStr">
        <is>
          <t>restaurant</t>
        </is>
      </c>
      <c r="C118" s="52" t="inlineStr">
        <is>
          <t>After You Dessert Cafe - Asiatique</t>
        </is>
      </c>
      <c r="D118" s="53" t="inlineStr">
        <is>
          <t>ริมแม่น้ำเจ้าพระยา</t>
        </is>
      </c>
      <c r="E118" s="54" t="n">
        <v>13.70478</v>
      </c>
      <c r="F118" s="55" t="n">
        <v>100.50329</v>
      </c>
      <c r="G118" s="56" t="inlineStr">
        <is>
          <t>cafe,family</t>
        </is>
      </c>
      <c r="H118" s="51" t="n">
        <v>2</v>
      </c>
      <c r="I118" s="57" t="n">
        <v>4.4</v>
      </c>
      <c r="J118" s="58" t="inlineStr">
        <is>
          <t>15:00-23:00</t>
        </is>
      </c>
      <c r="K118" s="51" t="inlineStr">
        <is>
          <t>15:00-23:00</t>
        </is>
      </c>
      <c r="L118" s="51" t="inlineStr">
        <is>
          <t>15:00-23:00</t>
        </is>
      </c>
      <c r="M118" s="51" t="inlineStr">
        <is>
          <t>15:00-23:00</t>
        </is>
      </c>
      <c r="N118" s="51" t="inlineStr">
        <is>
          <t>15:00-23:00</t>
        </is>
      </c>
      <c r="O118" s="51" t="inlineStr">
        <is>
          <t>15:00-23:00</t>
        </is>
      </c>
      <c r="P118" s="51" t="inlineStr">
        <is>
          <t>15:00-23:00</t>
        </is>
      </c>
      <c r="Q118" s="58" t="n">
        <v>30</v>
      </c>
      <c r="R118" s="59" t="n">
        <v>0</v>
      </c>
      <c r="S118" s="53" t="inlineStr">
        <is>
          <t>ร้านของหวานอาฟเตอร์ยู สาขาเอเชียทีค</t>
        </is>
      </c>
      <c r="T118" s="51" t="n"/>
      <c r="U118" s="58" t="inlineStr">
        <is>
          <t>N</t>
        </is>
      </c>
      <c r="V118" s="53" t="n"/>
      <c r="W118" s="53" t="n"/>
      <c r="X118" s="60" t="inlineStr">
        <is>
          <t>ร้านของหวาน</t>
        </is>
      </c>
      <c r="Y118" s="61" t="inlineStr">
        <is>
          <t>Asiatique The Riverfront</t>
        </is>
      </c>
      <c r="Z118" s="62" t="n">
        <v>0.04</v>
      </c>
      <c r="AA118" s="61" t="inlineStr">
        <is>
          <t>After You Dessert Cafe - Asiatique The Riverfront</t>
        </is>
      </c>
      <c r="AB118" s="63" t="n">
        <v>170</v>
      </c>
      <c r="AC118" s="61" t="inlineStr">
        <is>
          <t>ร้านขนมหวาน</t>
        </is>
      </c>
      <c r="AD118" s="61" t="inlineStr">
        <is>
          <t>Google Maps (รายวัน)</t>
        </is>
      </c>
      <c r="AE118" s="61" t="inlineStr">
        <is>
          <t>ทุกวัน 15:00-23:00 (เสาร์)</t>
        </is>
      </c>
      <c r="AF118" s="61" t="inlineStr">
        <is>
          <t>ประมาณการจากประเภทร้าน/ทำเล (ยังไม่ยืนยัน)</t>
        </is>
      </c>
      <c r="AG118" s="63" t="n"/>
      <c r="AH118" s="61" t="inlineStr">
        <is>
          <t>Asiatique 2194 ถ.เจริญกรุง บางคอแหลม</t>
        </is>
      </c>
      <c r="AI118" s="61" t="inlineStr">
        <is>
          <t>+66 63 840 9792</t>
        </is>
      </c>
      <c r="AJ118" s="61" t="inlineStr">
        <is>
          <t>ChIJl_bB-6-Z4jARKQxbLdvEpTQ</t>
        </is>
      </c>
      <c r="AK118" s="64" t="inlineStr">
        <is>
          <t>เปิดแผนที่ ↗</t>
        </is>
      </c>
    </row>
    <row r="119" ht="20" customHeight="1">
      <c r="A119" s="50" t="inlineStr">
        <is>
          <t>bangkok-restaurant-swensens-asiatique</t>
        </is>
      </c>
      <c r="B119" s="51" t="inlineStr">
        <is>
          <t>restaurant</t>
        </is>
      </c>
      <c r="C119" s="52" t="inlineStr">
        <is>
          <t>Swensen's Asiatique River Front</t>
        </is>
      </c>
      <c r="D119" s="53" t="inlineStr">
        <is>
          <t>ริมแม่น้ำเจ้าพระยา</t>
        </is>
      </c>
      <c r="E119" s="54" t="n">
        <v>13.70421</v>
      </c>
      <c r="F119" s="55" t="n">
        <v>100.50411</v>
      </c>
      <c r="G119" s="56" t="inlineStr">
        <is>
          <t>family</t>
        </is>
      </c>
      <c r="H119" s="51" t="n">
        <v>2</v>
      </c>
      <c r="I119" s="57" t="n">
        <v>4</v>
      </c>
      <c r="J119" s="58" t="inlineStr">
        <is>
          <t>12:00-23:00</t>
        </is>
      </c>
      <c r="K119" s="51" t="inlineStr">
        <is>
          <t>12:00-23:00</t>
        </is>
      </c>
      <c r="L119" s="51" t="inlineStr">
        <is>
          <t>12:00-23:00</t>
        </is>
      </c>
      <c r="M119" s="51" t="inlineStr">
        <is>
          <t>12:00-23:00</t>
        </is>
      </c>
      <c r="N119" s="51" t="inlineStr">
        <is>
          <t>12:00-23:00</t>
        </is>
      </c>
      <c r="O119" s="51" t="inlineStr">
        <is>
          <t>12:00-23:00</t>
        </is>
      </c>
      <c r="P119" s="51" t="inlineStr">
        <is>
          <t>12:00-23:00</t>
        </is>
      </c>
      <c r="Q119" s="58" t="n">
        <v>30</v>
      </c>
      <c r="R119" s="59" t="n">
        <v>0</v>
      </c>
      <c r="S119" s="53" t="inlineStr">
        <is>
          <t>ร้านไอศกรีมสเวนเซ่นส์ สาขาเอเชียทีค</t>
        </is>
      </c>
      <c r="T119" s="51" t="n"/>
      <c r="U119" s="58" t="inlineStr">
        <is>
          <t>N</t>
        </is>
      </c>
      <c r="V119" s="53" t="n"/>
      <c r="W119" s="53" t="n"/>
      <c r="X119" s="60" t="inlineStr">
        <is>
          <t>ร้านของหวาน</t>
        </is>
      </c>
      <c r="Y119" s="61" t="inlineStr">
        <is>
          <t>Asiatique The Riverfront</t>
        </is>
      </c>
      <c r="Z119" s="62" t="n">
        <v>0.09</v>
      </c>
      <c r="AA119" s="61" t="inlineStr">
        <is>
          <t>Swensen's Asiatique River Front</t>
        </is>
      </c>
      <c r="AB119" s="63" t="n">
        <v>480</v>
      </c>
      <c r="AC119" s="61" t="inlineStr">
        <is>
          <t>ร้านไอศกรีม, ร้านขนมหวาน</t>
        </is>
      </c>
      <c r="AD119" s="61" t="inlineStr">
        <is>
          <t>Google Maps (รายวัน)</t>
        </is>
      </c>
      <c r="AE119" s="61" t="inlineStr">
        <is>
          <t>ทุกวัน 12:00-23:00 (เสาร์)</t>
        </is>
      </c>
      <c r="AF119" s="61" t="inlineStr">
        <is>
          <t>ประมาณการจากประเภทร้าน/ทำเล (ยังไม่ยืนยัน)</t>
        </is>
      </c>
      <c r="AG119" s="63" t="n"/>
      <c r="AH119" s="61" t="inlineStr">
        <is>
          <t>Asiatique 2194 ถ.เจริญกรุง บางคอแหลม</t>
        </is>
      </c>
      <c r="AI119" s="61" t="inlineStr">
        <is>
          <t>+66 63 203 3170</t>
        </is>
      </c>
      <c r="AJ119" s="61" t="inlineStr">
        <is>
          <t>ChIJk-H5AJeY4jARfbqXye_X0u8</t>
        </is>
      </c>
      <c r="AK119" s="64" t="inlineStr">
        <is>
          <t>เปิดแผนที่ ↗</t>
        </is>
      </c>
    </row>
    <row r="120" ht="20" customHeight="1">
      <c r="A120" s="50" t="inlineStr">
        <is>
          <t>bangkok-restaurant-make-me-mango-asiatique</t>
        </is>
      </c>
      <c r="B120" s="51" t="inlineStr">
        <is>
          <t>restaurant</t>
        </is>
      </c>
      <c r="C120" s="52" t="inlineStr">
        <is>
          <t>Make Me Mango Asiatique</t>
        </is>
      </c>
      <c r="D120" s="53" t="inlineStr">
        <is>
          <t>ริมแม่น้ำเจ้าพระยา</t>
        </is>
      </c>
      <c r="E120" s="54" t="n">
        <v>13.70463</v>
      </c>
      <c r="F120" s="55" t="n">
        <v>100.50355</v>
      </c>
      <c r="G120" s="56" t="inlineStr">
        <is>
          <t>localFood</t>
        </is>
      </c>
      <c r="H120" s="51" t="n">
        <v>2</v>
      </c>
      <c r="I120" s="57" t="n">
        <v>4.9</v>
      </c>
      <c r="J120" s="58" t="inlineStr">
        <is>
          <t>15:00-22:30</t>
        </is>
      </c>
      <c r="K120" s="51" t="inlineStr">
        <is>
          <t>15:00-22:30</t>
        </is>
      </c>
      <c r="L120" s="51" t="inlineStr">
        <is>
          <t>15:00-22:30</t>
        </is>
      </c>
      <c r="M120" s="51" t="inlineStr">
        <is>
          <t>15:00-23:00</t>
        </is>
      </c>
      <c r="N120" s="51" t="inlineStr">
        <is>
          <t>15:00-23:00</t>
        </is>
      </c>
      <c r="O120" s="51" t="inlineStr">
        <is>
          <t>15:00-23:00</t>
        </is>
      </c>
      <c r="P120" s="51" t="inlineStr">
        <is>
          <t>15:00-23:00</t>
        </is>
      </c>
      <c r="Q120" s="58" t="n">
        <v>30</v>
      </c>
      <c r="R120" s="59" t="n">
        <v>0</v>
      </c>
      <c r="S120" s="53" t="inlineStr">
        <is>
          <t>ร้านของหวานจากมะม่วง ขึ้นชื่อข้าวเหนียวมะม่วง สาขาเอเชียทีค</t>
        </is>
      </c>
      <c r="T120" s="51" t="n"/>
      <c r="U120" s="58" t="inlineStr">
        <is>
          <t>N</t>
        </is>
      </c>
      <c r="V120" s="53" t="n"/>
      <c r="W120" s="53" t="inlineStr">
        <is>
          <t>เวลาจริงไม่ใช่ "ทุกวัน" ตามตารางเดิม (เดิมเช็กแค่วันเสาร์)</t>
        </is>
      </c>
      <c r="X120" s="60" t="inlineStr">
        <is>
          <t>ร้านของหวาน</t>
        </is>
      </c>
      <c r="Y120" s="61" t="inlineStr">
        <is>
          <t>Asiatique The Riverfront</t>
        </is>
      </c>
      <c r="Z120" s="62" t="n">
        <v>0.04</v>
      </c>
      <c r="AA120" s="61" t="inlineStr">
        <is>
          <t>Make Me Mango Asiatique</t>
        </is>
      </c>
      <c r="AB120" s="63" t="n">
        <v>1086</v>
      </c>
      <c r="AC120" s="61" t="inlineStr">
        <is>
          <t>ร้านขนมหวาน</t>
        </is>
      </c>
      <c r="AD120" s="61" t="inlineStr">
        <is>
          <t>Google Maps (รายวัน)</t>
        </is>
      </c>
      <c r="AE120" s="61" t="inlineStr">
        <is>
          <t>ทุกวัน 15:00-23:00 (เสาร์)</t>
        </is>
      </c>
      <c r="AF120" s="61" t="inlineStr">
        <is>
          <t>ประมาณการจากประเภทร้าน/ทำเล (ยังไม่ยืนยัน)</t>
        </is>
      </c>
      <c r="AG120" s="63" t="n"/>
      <c r="AH120" s="61" t="inlineStr">
        <is>
          <t>Asiatique 2194 ถ.เจริญกรุง บางคอแหลม</t>
        </is>
      </c>
      <c r="AI120" s="61" t="inlineStr">
        <is>
          <t>+66 94 869 2965</t>
        </is>
      </c>
      <c r="AJ120" s="61" t="inlineStr">
        <is>
          <t>ChIJJToG_Lae4jARyGfWLIaA7Xs</t>
        </is>
      </c>
      <c r="AK120" s="64" t="inlineStr">
        <is>
          <t>เปิดแผนที่ ↗</t>
        </is>
      </c>
    </row>
    <row r="121" ht="20" customHeight="1">
      <c r="A121" s="50" t="inlineStr">
        <is>
          <t>bangkok-restaurant-the-gardens-of-dinsor-palace</t>
        </is>
      </c>
      <c r="B121" s="51" t="inlineStr">
        <is>
          <t>restaurant</t>
        </is>
      </c>
      <c r="C121" s="52" t="inlineStr">
        <is>
          <t>The Gardens of Dinsor Palace</t>
        </is>
      </c>
      <c r="D121" s="53" t="inlineStr">
        <is>
          <t>เอกมัย</t>
        </is>
      </c>
      <c r="E121" s="54" t="n">
        <v>13.72262</v>
      </c>
      <c r="F121" s="55" t="n">
        <v>100.58228</v>
      </c>
      <c r="G121" s="56" t="inlineStr">
        <is>
          <t>localFood,cafe</t>
        </is>
      </c>
      <c r="H121" s="51" t="n">
        <v>3</v>
      </c>
      <c r="I121" s="57" t="n">
        <v>4.4</v>
      </c>
      <c r="J121" s="58" t="inlineStr">
        <is>
          <t>10:00-22:00</t>
        </is>
      </c>
      <c r="K121" s="51" t="inlineStr">
        <is>
          <t>10:00-22:00</t>
        </is>
      </c>
      <c r="L121" s="51" t="inlineStr">
        <is>
          <t>10:00-22:00</t>
        </is>
      </c>
      <c r="M121" s="51" t="inlineStr">
        <is>
          <t>10:00-22:00</t>
        </is>
      </c>
      <c r="N121" s="51" t="inlineStr">
        <is>
          <t>10:00-22:00</t>
        </is>
      </c>
      <c r="O121" s="51" t="inlineStr">
        <is>
          <t>09:00-22:00</t>
        </is>
      </c>
      <c r="P121" s="51" t="inlineStr">
        <is>
          <t>09:00-22:00</t>
        </is>
      </c>
      <c r="Q121" s="58" t="n">
        <v>75</v>
      </c>
      <c r="R121" s="59" t="n">
        <v>0</v>
      </c>
      <c r="S121" s="53" t="inlineStr">
        <is>
          <t>ร้านอาหารไทย-ยุโรปในสวนและบ้านเก่า ย่านเอกมัย</t>
        </is>
      </c>
      <c r="T121" s="51" t="n"/>
      <c r="U121" s="58" t="inlineStr">
        <is>
          <t>Y</t>
        </is>
      </c>
      <c r="V121" s="53" t="n"/>
      <c r="W121" s="53" t="inlineStr">
        <is>
          <t>เวลาจริงไม่ใช่ "ทุกวัน" ตามตารางเดิม (เดิมเช็กแค่วันเสาร์)</t>
        </is>
      </c>
      <c r="X121" s="60" t="inlineStr">
        <is>
          <t>ร้านอาหาร</t>
        </is>
      </c>
      <c r="Y121" s="61" t="inlineStr">
        <is>
          <t>ท้องฟ้าจำลองกรุงเทพ (เอกมัย)</t>
        </is>
      </c>
      <c r="Z121" s="62" t="n">
        <v>0.35</v>
      </c>
      <c r="AA121" s="61" t="inlineStr">
        <is>
          <t>เดอะ การ์เดนส์</t>
        </is>
      </c>
      <c r="AB121" s="63" t="n">
        <v>1847</v>
      </c>
      <c r="AC121" s="61" t="inlineStr">
        <is>
          <t>ภัตตาคารอาหารยุโรป, ภัตตาคารอาหารไทย</t>
        </is>
      </c>
      <c r="AD121" s="61" t="inlineStr">
        <is>
          <t>Google Maps (รายวัน)</t>
        </is>
      </c>
      <c r="AE121" s="61" t="inlineStr">
        <is>
          <t>ทุกวัน 09:00-22:00 (เสาร์)</t>
        </is>
      </c>
      <c r="AF121" s="61" t="inlineStr">
        <is>
          <t>ประมาณการจากประเภทร้าน/ทำเล (ยังไม่ยืนยัน)</t>
        </is>
      </c>
      <c r="AG121" s="63" t="n"/>
      <c r="AH121" s="61" t="inlineStr">
        <is>
          <t>1217/2 ซ.ชุมพล คลองตันเหนือ วัฒนา</t>
        </is>
      </c>
      <c r="AI121" s="61" t="inlineStr">
        <is>
          <t>+66 93 124 7730</t>
        </is>
      </c>
      <c r="AJ121" s="61" t="inlineStr">
        <is>
          <t>ChIJ947tbq-f4jARmqxnBY9oxv4</t>
        </is>
      </c>
      <c r="AK121" s="64" t="inlineStr">
        <is>
          <t>เปิดแผนที่ ↗</t>
        </is>
      </c>
    </row>
    <row r="122" ht="20" customHeight="1">
      <c r="A122" s="50" t="inlineStr">
        <is>
          <t>bangkok-restaurant-pastalicious-sukhumvit-42</t>
        </is>
      </c>
      <c r="B122" s="51" t="inlineStr">
        <is>
          <t>restaurant</t>
        </is>
      </c>
      <c r="C122" s="52" t="inlineStr">
        <is>
          <t>Pastalicious, Fresh Pasta &amp; Steaks</t>
        </is>
      </c>
      <c r="D122" s="53" t="inlineStr">
        <is>
          <t>เอกมัย</t>
        </is>
      </c>
      <c r="E122" s="54" t="n">
        <v>13.71519</v>
      </c>
      <c r="F122" s="55" t="n">
        <v>100.58448</v>
      </c>
      <c r="G122" s="56" t="n"/>
      <c r="H122" s="51" t="n">
        <v>2</v>
      </c>
      <c r="I122" s="57" t="n">
        <v>4.7</v>
      </c>
      <c r="J122" s="58" t="inlineStr">
        <is>
          <t>11:00-21:00</t>
        </is>
      </c>
      <c r="K122" s="51" t="n"/>
      <c r="L122" s="51" t="inlineStr">
        <is>
          <t>11:00-21:00</t>
        </is>
      </c>
      <c r="M122" s="51" t="inlineStr">
        <is>
          <t>11:00-21:00</t>
        </is>
      </c>
      <c r="N122" s="51" t="inlineStr">
        <is>
          <t>11:00-21:00</t>
        </is>
      </c>
      <c r="O122" s="51" t="inlineStr">
        <is>
          <t>11:00-21:00</t>
        </is>
      </c>
      <c r="P122" s="51" t="inlineStr">
        <is>
          <t>11:00-21:00</t>
        </is>
      </c>
      <c r="Q122" s="58" t="n">
        <v>60</v>
      </c>
      <c r="R122" s="59" t="n">
        <v>0</v>
      </c>
      <c r="S122" s="53" t="inlineStr">
        <is>
          <t>ร้านพาสต้าสดและสเต็กสไตล์อิตาเลียน ซอยสุขุมวิท 42</t>
        </is>
      </c>
      <c r="T122" s="51" t="n"/>
      <c r="U122" s="58" t="inlineStr">
        <is>
          <t>Y</t>
        </is>
      </c>
      <c r="V122" s="53" t="inlineStr">
        <is>
          <t>ไม่มีแท็กที่ตรงประเภทอาหาร (อาหารต่างชาติ)</t>
        </is>
      </c>
      <c r="W122" s="53" t="inlineStr">
        <is>
          <t>เปิด 2 ช่วง (sun 11:00–14:00 / 17:00–21:00; mon 11:00–14:00 / 17:00–21:00; wed 11:00–14:00 / 17:00–21:00; thu 11:00–14:00 / 17:00–21:00; fri 11:00–14:00 / 17:00–21:00; sat 11:00–14:00 / 17:00–21:00) ระบบรองรับช่วงเดียว จึงใส่ช่วงรวม</t>
        </is>
      </c>
      <c r="X122" s="60" t="inlineStr">
        <is>
          <t>ร้านอาหาร</t>
        </is>
      </c>
      <c r="Y122" s="61" t="inlineStr">
        <is>
          <t>ท้องฟ้าจำลองกรุงเทพ (เอกมัย)</t>
        </is>
      </c>
      <c r="Z122" s="62" t="n">
        <v>0.52</v>
      </c>
      <c r="AA122" s="61" t="inlineStr">
        <is>
          <t>Pastalicious, Fresh Pasta &amp; Steaks</t>
        </is>
      </c>
      <c r="AB122" s="63" t="n">
        <v>248</v>
      </c>
      <c r="AC122" s="61" t="inlineStr">
        <is>
          <t>ร้านอาหารอิตาเลียน</t>
        </is>
      </c>
      <c r="AD122" s="61" t="inlineStr">
        <is>
          <t>Google Maps (รายวัน)</t>
        </is>
      </c>
      <c r="AE122" s="61" t="inlineStr">
        <is>
          <t>ทุกวัน 11:00-14:00, 17:00-21:00 (ปิดอังคาร)</t>
        </is>
      </c>
      <c r="AF122" s="61" t="inlineStr">
        <is>
          <t>ประมาณการจากประเภทร้าน/ทำเล (ยังไม่ยืนยัน)</t>
        </is>
      </c>
      <c r="AG122" s="63" t="n"/>
      <c r="AH122" s="61" t="inlineStr">
        <is>
          <t>67/2 สุขุมวิท 42 พระโขนง คลองเตย</t>
        </is>
      </c>
      <c r="AI122" s="61" t="inlineStr">
        <is>
          <t>+66 98 887 0776</t>
        </is>
      </c>
      <c r="AJ122" s="61" t="inlineStr">
        <is>
          <t>ChIJn5GjYaCf4jARPXfCMkM2LP0</t>
        </is>
      </c>
      <c r="AK122" s="64" t="inlineStr">
        <is>
          <t>เปิดแผนที่ ↗</t>
        </is>
      </c>
    </row>
    <row r="123" ht="20" customHeight="1">
      <c r="A123" s="50" t="inlineStr">
        <is>
          <t>bangkok-restaurant-sousaku-sukhumvit-42</t>
        </is>
      </c>
      <c r="B123" s="51" t="inlineStr">
        <is>
          <t>restaurant</t>
        </is>
      </c>
      <c r="C123" s="52" t="inlineStr">
        <is>
          <t>SOUSAKU Sukhumvit 42</t>
        </is>
      </c>
      <c r="D123" s="53" t="inlineStr">
        <is>
          <t>เอกมัย</t>
        </is>
      </c>
      <c r="E123" s="54" t="n">
        <v>13.71621</v>
      </c>
      <c r="F123" s="55" t="n">
        <v>100.58645</v>
      </c>
      <c r="G123" s="56" t="n"/>
      <c r="H123" s="51" t="n">
        <v>3</v>
      </c>
      <c r="I123" s="57" t="n">
        <v>4.6</v>
      </c>
      <c r="J123" s="58" t="inlineStr">
        <is>
          <t>11:00-22:00</t>
        </is>
      </c>
      <c r="K123" s="51" t="inlineStr">
        <is>
          <t>11:00-22:00</t>
        </is>
      </c>
      <c r="L123" s="51" t="inlineStr">
        <is>
          <t>11:00-22:00</t>
        </is>
      </c>
      <c r="M123" s="51" t="inlineStr">
        <is>
          <t>11:00-22:00</t>
        </is>
      </c>
      <c r="N123" s="51" t="inlineStr">
        <is>
          <t>11:00-22:00</t>
        </is>
      </c>
      <c r="O123" s="51" t="inlineStr">
        <is>
          <t>11:00-22:00</t>
        </is>
      </c>
      <c r="P123" s="51" t="inlineStr">
        <is>
          <t>11:00-22:00</t>
        </is>
      </c>
      <c r="Q123" s="58" t="n">
        <v>60</v>
      </c>
      <c r="R123" s="59" t="n">
        <v>0</v>
      </c>
      <c r="S123" s="53" t="inlineStr">
        <is>
          <t>ร้านอาหารญี่ปุ่น ซอยสุขุมวิท 42</t>
        </is>
      </c>
      <c r="T123" s="51" t="n"/>
      <c r="U123" s="58" t="inlineStr">
        <is>
          <t>Y</t>
        </is>
      </c>
      <c r="V123" s="53" t="inlineStr">
        <is>
          <t>ไม่มีแท็กที่ตรงประเภทอาหาร (อาหารต่างชาติ)</t>
        </is>
      </c>
      <c r="W123" s="53" t="inlineStr">
        <is>
          <t>เปิด 2 ช่วง (mon 11:00–15:00 / 17:00–22:00; tue 11:00–15:00 / 17:00–22:00; wed 11:00–15:00 / 17:00–22:00; thu 11:00–15:00 / 17:00–22:00; fri 11:00–15:00 / 17:00–22:00) ระบบรองรับช่วงเดียว จึงใส่ช่วงรวม</t>
        </is>
      </c>
      <c r="X123" s="60" t="inlineStr">
        <is>
          <t>ร้านอาหาร</t>
        </is>
      </c>
      <c r="Y123" s="61" t="inlineStr">
        <is>
          <t>ท้องฟ้าจำลองกรุงเทพ (เอกมัย)</t>
        </is>
      </c>
      <c r="Z123" s="62" t="n">
        <v>0.54</v>
      </c>
      <c r="AA123" s="61" t="inlineStr">
        <is>
          <t>SOUSAKU</t>
        </is>
      </c>
      <c r="AB123" s="63" t="n">
        <v>460</v>
      </c>
      <c r="AC123" s="61" t="inlineStr">
        <is>
          <t>ภัตตาคารอาหารญี่ปุ่น</t>
        </is>
      </c>
      <c r="AD123" s="61" t="inlineStr">
        <is>
          <t>Google Maps (รายวัน)</t>
        </is>
      </c>
      <c r="AE123" s="61" t="inlineStr">
        <is>
          <t>ทุกวัน 11:00-22:00 (เสาร์)</t>
        </is>
      </c>
      <c r="AF123" s="61" t="inlineStr">
        <is>
          <t>ประมาณการจากประเภทร้าน/ทำเล (ยังไม่ยืนยัน)</t>
        </is>
      </c>
      <c r="AG123" s="63" t="n"/>
      <c r="AH123" s="61" t="inlineStr">
        <is>
          <t>สุขุมวิท 42 พระโขนง คลองเตย</t>
        </is>
      </c>
      <c r="AI123" s="61" t="inlineStr">
        <is>
          <t>+66 82 424 2822</t>
        </is>
      </c>
      <c r="AJ123" s="61" t="inlineStr">
        <is>
          <t>ChIJT7QoxNuf4jAR9_JfRRGfphE</t>
        </is>
      </c>
      <c r="AK123" s="64" t="inlineStr">
        <is>
          <t>เปิดแผนที่ ↗</t>
        </is>
      </c>
    </row>
    <row r="124" ht="20" customHeight="1">
      <c r="A124" s="50" t="inlineStr">
        <is>
          <t>bangkok-restaurant-cos-cup-of-sensory</t>
        </is>
      </c>
      <c r="B124" s="51" t="inlineStr">
        <is>
          <t>restaurant</t>
        </is>
      </c>
      <c r="C124" s="52" t="inlineStr">
        <is>
          <t>COS Cup of Sensory Cafe</t>
        </is>
      </c>
      <c r="D124" s="53" t="inlineStr">
        <is>
          <t>เอกมัย</t>
        </is>
      </c>
      <c r="E124" s="54" t="n">
        <v>13.72147</v>
      </c>
      <c r="F124" s="55" t="n">
        <v>100.58271</v>
      </c>
      <c r="G124" s="56" t="inlineStr">
        <is>
          <t>cafe</t>
        </is>
      </c>
      <c r="H124" s="51" t="n">
        <v>2</v>
      </c>
      <c r="I124" s="57" t="n">
        <v>4.8</v>
      </c>
      <c r="J124" s="58" t="n"/>
      <c r="K124" s="51" t="inlineStr">
        <is>
          <t>08:00-18:00</t>
        </is>
      </c>
      <c r="L124" s="51" t="inlineStr">
        <is>
          <t>08:00-18:00</t>
        </is>
      </c>
      <c r="M124" s="51" t="inlineStr">
        <is>
          <t>08:00-18:00</t>
        </is>
      </c>
      <c r="N124" s="51" t="inlineStr">
        <is>
          <t>08:00-18:00</t>
        </is>
      </c>
      <c r="O124" s="51" t="inlineStr">
        <is>
          <t>08:00-17:00</t>
        </is>
      </c>
      <c r="P124" s="51" t="inlineStr">
        <is>
          <t>08:00-17:00</t>
        </is>
      </c>
      <c r="Q124" s="58" t="n">
        <v>30</v>
      </c>
      <c r="R124" s="59" t="n">
        <v>0</v>
      </c>
      <c r="S124" s="53" t="inlineStr">
        <is>
          <t>ร้านกาแฟย่านคลองตันเหนือ ใกล้เอกมัย</t>
        </is>
      </c>
      <c r="T124" s="51" t="n"/>
      <c r="U124" s="58" t="inlineStr">
        <is>
          <t>N</t>
        </is>
      </c>
      <c r="V124" s="53" t="n"/>
      <c r="W124" s="53" t="n"/>
      <c r="X124" s="60" t="inlineStr">
        <is>
          <t>ร้านเครื่องดื่ม</t>
        </is>
      </c>
      <c r="Y124" s="61" t="inlineStr">
        <is>
          <t>ท้องฟ้าจำลองกรุงเทพ (เอกมัย)</t>
        </is>
      </c>
      <c r="Z124" s="62" t="n">
        <v>0.21</v>
      </c>
      <c r="AA124" s="61" t="inlineStr">
        <is>
          <t>COS Cup of Sensory Cafe</t>
        </is>
      </c>
      <c r="AB124" s="63" t="n">
        <v>78</v>
      </c>
      <c r="AC124" s="61" t="inlineStr">
        <is>
          <t>ร้านกาแฟ</t>
        </is>
      </c>
      <c r="AD124" s="61" t="inlineStr">
        <is>
          <t>Google Maps (รายวัน)</t>
        </is>
      </c>
      <c r="AE124" s="61" t="inlineStr">
        <is>
          <t>อ-อา 08:00-17:00 (ปิดจันทร์)</t>
        </is>
      </c>
      <c r="AF124" s="61" t="inlineStr">
        <is>
          <t>ประมาณการจากประเภทร้าน/ทำเล (ยังไม่ยืนยัน)</t>
        </is>
      </c>
      <c r="AG124" s="63" t="n"/>
      <c r="AH124" s="61" t="inlineStr">
        <is>
          <t>1221/2 คลองตันเหนือ วัฒนา</t>
        </is>
      </c>
      <c r="AI124" s="61" t="inlineStr">
        <is>
          <t>+66 64 250 6458</t>
        </is>
      </c>
      <c r="AJ124" s="61" t="inlineStr">
        <is>
          <t>ChIJ10vI9R2f4jARhWtV_3zSYSk</t>
        </is>
      </c>
      <c r="AK124" s="64" t="inlineStr">
        <is>
          <t>เปิดแผนที่ ↗</t>
        </is>
      </c>
    </row>
    <row r="125" ht="20" customHeight="1">
      <c r="A125" s="50" t="inlineStr">
        <is>
          <t>bangkok-restaurant-a-keen-house</t>
        </is>
      </c>
      <c r="B125" s="51" t="inlineStr">
        <is>
          <t>restaurant</t>
        </is>
      </c>
      <c r="C125" s="52" t="inlineStr">
        <is>
          <t>A KEEN HOUSE</t>
        </is>
      </c>
      <c r="D125" s="53" t="inlineStr">
        <is>
          <t>เอกมัย</t>
        </is>
      </c>
      <c r="E125" s="54" t="n">
        <v>13.71698</v>
      </c>
      <c r="F125" s="55" t="n">
        <v>100.58114</v>
      </c>
      <c r="G125" s="56" t="inlineStr">
        <is>
          <t>cafe,artCulture</t>
        </is>
      </c>
      <c r="H125" s="51" t="n">
        <v>2</v>
      </c>
      <c r="I125" s="57" t="n">
        <v>4.7</v>
      </c>
      <c r="J125" s="58" t="inlineStr">
        <is>
          <t>09:00-17:30</t>
        </is>
      </c>
      <c r="K125" s="51" t="inlineStr">
        <is>
          <t>09:00-17:30</t>
        </is>
      </c>
      <c r="L125" s="51" t="inlineStr">
        <is>
          <t>09:00-17:30</t>
        </is>
      </c>
      <c r="M125" s="51" t="inlineStr">
        <is>
          <t>09:00-17:30</t>
        </is>
      </c>
      <c r="N125" s="51" t="inlineStr">
        <is>
          <t>09:00-17:30</t>
        </is>
      </c>
      <c r="O125" s="51" t="inlineStr">
        <is>
          <t>09:00-17:30</t>
        </is>
      </c>
      <c r="P125" s="51" t="inlineStr">
        <is>
          <t>09:00-17:30</t>
        </is>
      </c>
      <c r="Q125" s="58" t="n">
        <v>45</v>
      </c>
      <c r="R125" s="59" t="n">
        <v>0</v>
      </c>
      <c r="S125" s="53" t="inlineStr">
        <is>
          <t>คาเฟ่ศิลปะในซอยสุขใจ สุขุมวิท 40</t>
        </is>
      </c>
      <c r="T125" s="51" t="n"/>
      <c r="U125" s="58" t="inlineStr">
        <is>
          <t>N</t>
        </is>
      </c>
      <c r="V125" s="53" t="n"/>
      <c r="W125" s="53" t="n"/>
      <c r="X125" s="60" t="inlineStr">
        <is>
          <t>ร้านเครื่องดื่ม</t>
        </is>
      </c>
      <c r="Y125" s="61" t="inlineStr">
        <is>
          <t>ท้องฟ้าจำลองกรุงเทพ (เอกมัย)</t>
        </is>
      </c>
      <c r="Z125" s="62" t="n">
        <v>0.34</v>
      </c>
      <c r="AA125" s="61" t="inlineStr">
        <is>
          <t>A KEEN HOUSE</t>
        </is>
      </c>
      <c r="AB125" s="63" t="n">
        <v>975</v>
      </c>
      <c r="AC125" s="61" t="inlineStr">
        <is>
          <t>ร้านกาแฟ, คาเฟ่ศิลปะ</t>
        </is>
      </c>
      <c r="AD125" s="61" t="inlineStr">
        <is>
          <t>Google Maps (รายวัน)</t>
        </is>
      </c>
      <c r="AE125" s="61" t="inlineStr">
        <is>
          <t>ทุกวัน 09:00-17:30 (เสาร์)</t>
        </is>
      </c>
      <c r="AF125" s="61" t="inlineStr">
        <is>
          <t>ประมาณการจากประเภทร้าน/ทำเล (ยังไม่ยืนยัน)</t>
        </is>
      </c>
      <c r="AG125" s="63" t="n"/>
      <c r="AH125" s="61" t="inlineStr">
        <is>
          <t>4 ซ.สุขใจ สุขุมวิท 40 พระโขนง คลองเตย</t>
        </is>
      </c>
      <c r="AI125" s="61" t="inlineStr">
        <is>
          <t>+66 99 436 6535</t>
        </is>
      </c>
      <c r="AJ125" s="61" t="inlineStr">
        <is>
          <t>ChIJS1-3ni6f4jARAS9TqmgpsLM</t>
        </is>
      </c>
      <c r="AK125" s="64" t="inlineStr">
        <is>
          <t>เปิดแผนที่ ↗</t>
        </is>
      </c>
    </row>
    <row r="126" ht="20" customHeight="1">
      <c r="A126" s="50" t="inlineStr">
        <is>
          <t>bangkok-restaurant-tobys-sukhumvit-38</t>
        </is>
      </c>
      <c r="B126" s="51" t="inlineStr">
        <is>
          <t>restaurant</t>
        </is>
      </c>
      <c r="C126" s="52" t="inlineStr">
        <is>
          <t>Folk Lane by Toby's Sukhumvit 38</t>
        </is>
      </c>
      <c r="D126" s="53" t="inlineStr">
        <is>
          <t>เอกมัย</t>
        </is>
      </c>
      <c r="E126" s="54" t="n">
        <v>13.7182</v>
      </c>
      <c r="F126" s="55" t="n">
        <v>100.57974</v>
      </c>
      <c r="G126" s="56" t="inlineStr">
        <is>
          <t>cafe</t>
        </is>
      </c>
      <c r="H126" s="51" t="n">
        <v>3</v>
      </c>
      <c r="I126" s="57" t="n">
        <v>4.3</v>
      </c>
      <c r="J126" s="58" t="inlineStr">
        <is>
          <t>08:00-17:00</t>
        </is>
      </c>
      <c r="K126" s="51" t="inlineStr">
        <is>
          <t>08:00-17:00</t>
        </is>
      </c>
      <c r="L126" s="51" t="inlineStr">
        <is>
          <t>08:00-17:00</t>
        </is>
      </c>
      <c r="M126" s="51" t="inlineStr">
        <is>
          <t>08:00-17:00</t>
        </is>
      </c>
      <c r="N126" s="51" t="inlineStr">
        <is>
          <t>08:00-17:00</t>
        </is>
      </c>
      <c r="O126" s="51" t="inlineStr">
        <is>
          <t>08:00-17:00</t>
        </is>
      </c>
      <c r="P126" s="51" t="inlineStr">
        <is>
          <t>08:00-17:00</t>
        </is>
      </c>
      <c r="Q126" s="58" t="n">
        <v>60</v>
      </c>
      <c r="R126" s="59" t="n">
        <v>0</v>
      </c>
      <c r="S126" s="53" t="inlineStr">
        <is>
          <t>คาเฟ่อาหารเช้าและบรันช์ ซอยสุขุมวิท 38</t>
        </is>
      </c>
      <c r="T126" s="51" t="n"/>
      <c r="U126" s="58" t="inlineStr">
        <is>
          <t>Y</t>
        </is>
      </c>
      <c r="V126" s="53" t="n"/>
      <c r="W126" s="53" t="n"/>
      <c r="X126" s="60" t="inlineStr">
        <is>
          <t>ร้านเครื่องดื่ม</t>
        </is>
      </c>
      <c r="Y126" s="61" t="inlineStr">
        <is>
          <t>ท้องฟ้าจำลองกรุงเทพ (เอกมัย)</t>
        </is>
      </c>
      <c r="Z126" s="62" t="n">
        <v>0.36</v>
      </c>
      <c r="AA126" s="61" t="inlineStr">
        <is>
          <t>Toby's</t>
        </is>
      </c>
      <c r="AB126" s="63" t="n">
        <v>1639</v>
      </c>
      <c r="AC126" s="61" t="inlineStr">
        <is>
          <t>ร้านกาแฟ, ภัตตาคารอาหารเช้า, ภัตตาคารอาหารเช้าและกลางวัน</t>
        </is>
      </c>
      <c r="AD126" s="61" t="inlineStr">
        <is>
          <t>Google Maps (รายวัน)</t>
        </is>
      </c>
      <c r="AE126" s="61" t="inlineStr">
        <is>
          <t>ทุกวัน 08:00-17:00 (เสาร์)</t>
        </is>
      </c>
      <c r="AF126" s="61" t="inlineStr">
        <is>
          <t>ประมาณการจากประเภทร้าน/ทำเล (ยังไม่ยืนยัน)</t>
        </is>
      </c>
      <c r="AG126" s="63" t="n"/>
      <c r="AH126" s="61" t="inlineStr">
        <is>
          <t>75 ซ.สันติสุข สุขุมวิท 38 พระโขนง คลองเตย</t>
        </is>
      </c>
      <c r="AI126" s="61" t="inlineStr">
        <is>
          <t>+66 2 712 1774</t>
        </is>
      </c>
      <c r="AJ126" s="61" t="inlineStr">
        <is>
          <t>ChIJ8WhXGqaf4jARcV1ZdA6vAGM</t>
        </is>
      </c>
      <c r="AK126" s="64" t="inlineStr">
        <is>
          <t>เปิดแผนที่ ↗</t>
        </is>
      </c>
    </row>
    <row r="127" ht="20" customHeight="1">
      <c r="A127" s="50" t="inlineStr">
        <is>
          <t>bangkok-restaurant-nong-aem-dessert-soi-38</t>
        </is>
      </c>
      <c r="B127" s="51" t="inlineStr">
        <is>
          <t>restaurant</t>
        </is>
      </c>
      <c r="C127" s="52" t="inlineStr">
        <is>
          <t>น้องแอ้ม ขนมหวาน ซอย 38</t>
        </is>
      </c>
      <c r="D127" s="53" t="inlineStr">
        <is>
          <t>เอกมัย</t>
        </is>
      </c>
      <c r="E127" s="54" t="n">
        <v>13.72362</v>
      </c>
      <c r="F127" s="55" t="n">
        <v>100.57884</v>
      </c>
      <c r="G127" s="56" t="inlineStr">
        <is>
          <t>localFood</t>
        </is>
      </c>
      <c r="H127" s="51" t="n">
        <v>1</v>
      </c>
      <c r="I127" s="57" t="n">
        <v>4.6</v>
      </c>
      <c r="J127" s="58" t="inlineStr">
        <is>
          <t>12:00-20:00</t>
        </is>
      </c>
      <c r="K127" s="51" t="inlineStr">
        <is>
          <t>12:00-20:00</t>
        </is>
      </c>
      <c r="L127" s="51" t="inlineStr">
        <is>
          <t>12:00-20:00</t>
        </is>
      </c>
      <c r="M127" s="51" t="inlineStr">
        <is>
          <t>12:00-20:00</t>
        </is>
      </c>
      <c r="N127" s="51" t="inlineStr">
        <is>
          <t>12:00-20:00</t>
        </is>
      </c>
      <c r="O127" s="51" t="inlineStr">
        <is>
          <t>12:00-20:00</t>
        </is>
      </c>
      <c r="P127" s="51" t="n"/>
      <c r="Q127" s="58" t="n">
        <v>20</v>
      </c>
      <c r="R127" s="59" t="n">
        <v>0</v>
      </c>
      <c r="S127" s="53" t="inlineStr">
        <is>
          <t>ร้านขนมหวานไทยปากซอยสุขุมวิท 38</t>
        </is>
      </c>
      <c r="T127" s="51" t="n"/>
      <c r="U127" s="58" t="inlineStr">
        <is>
          <t>N</t>
        </is>
      </c>
      <c r="V127" s="53" t="n"/>
      <c r="W127" s="53" t="n"/>
      <c r="X127" s="60" t="inlineStr">
        <is>
          <t>ร้านของหวาน</t>
        </is>
      </c>
      <c r="Y127" s="61" t="inlineStr">
        <is>
          <t>ท้องฟ้าจำลองกรุงเทพ (เอกมัย)</t>
        </is>
      </c>
      <c r="Z127" s="62" t="n">
        <v>0.62</v>
      </c>
      <c r="AA127" s="61" t="inlineStr">
        <is>
          <t>น้องแอ้มขนมหวานซอยสุขุวิท38</t>
        </is>
      </c>
      <c r="AB127" s="63" t="n">
        <v>13</v>
      </c>
      <c r="AC127" s="61" t="inlineStr">
        <is>
          <t>ร้านขนมหวาน, ร้านของหวาน</t>
        </is>
      </c>
      <c r="AD127" s="61" t="inlineStr">
        <is>
          <t>Google Maps (รายวัน)</t>
        </is>
      </c>
      <c r="AE127" s="61" t="inlineStr">
        <is>
          <t>จ-ส 12:00-20:00 (ปิดอาทิตย์)</t>
        </is>
      </c>
      <c r="AF127" s="61" t="inlineStr">
        <is>
          <t>ประมาณการจากประเภทร้าน/ทำเล (ยังไม่ยืนยัน)</t>
        </is>
      </c>
      <c r="AG127" s="63" t="n"/>
      <c r="AH127" s="61" t="inlineStr">
        <is>
          <t>ปากซ.สันติสุข สุขุมวิท 38 พระโขนง คลองเตย</t>
        </is>
      </c>
      <c r="AI127" s="61" t="inlineStr">
        <is>
          <t>+66 81 588 6598</t>
        </is>
      </c>
      <c r="AJ127" s="61" t="inlineStr">
        <is>
          <t>ChIJDSFb56if4jARW_JZU5zoLR4</t>
        </is>
      </c>
      <c r="AK127" s="64" t="inlineStr">
        <is>
          <t>เปิดแผนที่ ↗</t>
        </is>
      </c>
    </row>
    <row r="128" ht="20" customHeight="1">
      <c r="A128" s="50" t="inlineStr">
        <is>
          <t>bangkok-restaurant-nicolo-bakery-sukhumvit-42</t>
        </is>
      </c>
      <c r="B128" s="51" t="inlineStr">
        <is>
          <t>restaurant</t>
        </is>
      </c>
      <c r="C128" s="52" t="inlineStr">
        <is>
          <t>Nicolo Bakery Sukhumvit 42</t>
        </is>
      </c>
      <c r="D128" s="53" t="inlineStr">
        <is>
          <t>เอกมัย</t>
        </is>
      </c>
      <c r="E128" s="54" t="n">
        <v>13.71532</v>
      </c>
      <c r="F128" s="55" t="n">
        <v>100.58772</v>
      </c>
      <c r="G128" s="56" t="inlineStr">
        <is>
          <t>cafe</t>
        </is>
      </c>
      <c r="H128" s="51" t="n">
        <v>2</v>
      </c>
      <c r="I128" s="57" t="n">
        <v>4.4</v>
      </c>
      <c r="J128" s="58" t="n"/>
      <c r="K128" s="51" t="inlineStr">
        <is>
          <t>07:00-17:00</t>
        </is>
      </c>
      <c r="L128" s="51" t="inlineStr">
        <is>
          <t>07:00-17:00</t>
        </is>
      </c>
      <c r="M128" s="51" t="inlineStr">
        <is>
          <t>07:00-17:00</t>
        </is>
      </c>
      <c r="N128" s="51" t="inlineStr">
        <is>
          <t>07:00-17:00</t>
        </is>
      </c>
      <c r="O128" s="51" t="inlineStr">
        <is>
          <t>07:00-17:00</t>
        </is>
      </c>
      <c r="P128" s="51" t="inlineStr">
        <is>
          <t>07:00-17:00</t>
        </is>
      </c>
      <c r="Q128" s="58" t="n">
        <v>30</v>
      </c>
      <c r="R128" s="59" t="n">
        <v>0</v>
      </c>
      <c r="S128" s="53" t="inlineStr">
        <is>
          <t>ร้านเบเกอรี่และเค้ก ซอยสุขุมวิท 42</t>
        </is>
      </c>
      <c r="T128" s="51" t="n"/>
      <c r="U128" s="58" t="inlineStr">
        <is>
          <t>N</t>
        </is>
      </c>
      <c r="V128" s="53" t="n"/>
      <c r="W128" s="53" t="n"/>
      <c r="X128" s="60" t="inlineStr">
        <is>
          <t>ร้านของหวาน</t>
        </is>
      </c>
      <c r="Y128" s="61" t="inlineStr">
        <is>
          <t>ท้องฟ้าจำลองกรุงเทพ (เอกมัย)</t>
        </is>
      </c>
      <c r="Z128" s="62" t="n">
        <v>0.71</v>
      </c>
      <c r="AA128" s="61" t="inlineStr">
        <is>
          <t>Nicolo Bakery Sukhumvit 42</t>
        </is>
      </c>
      <c r="AB128" s="63" t="n">
        <v>222</v>
      </c>
      <c r="AC128" s="61" t="inlineStr">
        <is>
          <t>ร้านเบเกอรี่, ร้านเค้ก, ร้านกาแฟ, ร้านอุปกรณ์กาแฟ</t>
        </is>
      </c>
      <c r="AD128" s="61" t="inlineStr">
        <is>
          <t>Google Maps (รายวัน)</t>
        </is>
      </c>
      <c r="AE128" s="61" t="inlineStr">
        <is>
          <t>อ-อา 07:00-17:00 (ปิดจันทร์)</t>
        </is>
      </c>
      <c r="AF128" s="61" t="inlineStr">
        <is>
          <t>ประมาณการจากประเภทร้าน/ทำเล (ยังไม่ยืนยัน)</t>
        </is>
      </c>
      <c r="AG128" s="63" t="n"/>
      <c r="AH128" s="61" t="inlineStr">
        <is>
          <t>55/9 ซ.สมานจันทน์ สุขุมวิท 42 พระโขนง</t>
        </is>
      </c>
      <c r="AI128" s="61" t="n"/>
      <c r="AJ128" s="61" t="inlineStr">
        <is>
          <t>ChIJFSm9rMCf4jAR5FJeZ0gFIXQ</t>
        </is>
      </c>
      <c r="AK128" s="64" t="inlineStr">
        <is>
          <t>เปิดแผนที่ ↗</t>
        </is>
      </c>
    </row>
    <row r="129" ht="20" customHeight="1">
      <c r="A129" s="50" t="inlineStr">
        <is>
          <t>bangkok-restaurant-mika-bakehouse-ekkamai</t>
        </is>
      </c>
      <c r="B129" s="51" t="inlineStr">
        <is>
          <t>restaurant</t>
        </is>
      </c>
      <c r="C129" s="52" t="inlineStr">
        <is>
          <t>MiKA Bakehouse &amp; Coffee - Ekkamai</t>
        </is>
      </c>
      <c r="D129" s="53" t="inlineStr">
        <is>
          <t>เอกมัย</t>
        </is>
      </c>
      <c r="E129" s="54" t="n">
        <v>13.72327</v>
      </c>
      <c r="F129" s="55" t="n">
        <v>100.58422</v>
      </c>
      <c r="G129" s="56" t="inlineStr">
        <is>
          <t>cafe</t>
        </is>
      </c>
      <c r="H129" s="51" t="n">
        <v>2</v>
      </c>
      <c r="I129" s="57" t="n">
        <v>4.9</v>
      </c>
      <c r="J129" s="58" t="inlineStr">
        <is>
          <t>09:00-18:00</t>
        </is>
      </c>
      <c r="K129" s="51" t="inlineStr">
        <is>
          <t>09:00-18:00</t>
        </is>
      </c>
      <c r="L129" s="51" t="inlineStr">
        <is>
          <t>09:00-18:00</t>
        </is>
      </c>
      <c r="M129" s="51" t="inlineStr">
        <is>
          <t>09:00-18:00</t>
        </is>
      </c>
      <c r="N129" s="51" t="inlineStr">
        <is>
          <t>09:00-18:00</t>
        </is>
      </c>
      <c r="O129" s="51" t="inlineStr">
        <is>
          <t>09:00-18:00</t>
        </is>
      </c>
      <c r="P129" s="51" t="inlineStr">
        <is>
          <t>09:00-18:00</t>
        </is>
      </c>
      <c r="Q129" s="58" t="n">
        <v>30</v>
      </c>
      <c r="R129" s="59" t="n">
        <v>0</v>
      </c>
      <c r="S129" s="53" t="inlineStr">
        <is>
          <t>ร้านเบเกอรี่และกาแฟ ซอยสุขุมวิท 61 ย่านเอกมัย</t>
        </is>
      </c>
      <c r="T129" s="51" t="n"/>
      <c r="U129" s="58" t="inlineStr">
        <is>
          <t>N</t>
        </is>
      </c>
      <c r="V129" s="53" t="n"/>
      <c r="W129" s="53" t="n"/>
      <c r="X129" s="60" t="inlineStr">
        <is>
          <t>ร้านของหวาน</t>
        </is>
      </c>
      <c r="Y129" s="61" t="inlineStr">
        <is>
          <t>ท้องฟ้าจำลองกรุงเทพ (เอกมัย)</t>
        </is>
      </c>
      <c r="Z129" s="62" t="n">
        <v>0.44</v>
      </c>
      <c r="AA129" s="61" t="inlineStr">
        <is>
          <t>MiKA Bakehouse &amp; Coffee - Ekkamai</t>
        </is>
      </c>
      <c r="AB129" s="63" t="n">
        <v>1237</v>
      </c>
      <c r="AC129" s="61" t="inlineStr">
        <is>
          <t>ร้านเบเกอรี่</t>
        </is>
      </c>
      <c r="AD129" s="61" t="inlineStr">
        <is>
          <t>Google Maps (รายวัน)</t>
        </is>
      </c>
      <c r="AE129" s="61" t="inlineStr">
        <is>
          <t>ทุกวัน 09:00-18:00 (เสาร์)</t>
        </is>
      </c>
      <c r="AF129" s="61" t="inlineStr">
        <is>
          <t>ประมาณการจากประเภทร้าน/ทำเล (ยังไม่ยืนยัน)</t>
        </is>
      </c>
      <c r="AG129" s="63" t="n"/>
      <c r="AH129" s="61" t="inlineStr">
        <is>
          <t>A101 18 สุขุมวิท 61 คลองตันเหนือ วัฒนา</t>
        </is>
      </c>
      <c r="AI129" s="61" t="inlineStr">
        <is>
          <t>+66 94 474 6251</t>
        </is>
      </c>
      <c r="AJ129" s="61" t="inlineStr">
        <is>
          <t>ChIJG_462byf4jARUl71r_65amw</t>
        </is>
      </c>
      <c r="AK129" s="64" t="inlineStr">
        <is>
          <t>เปิดแผนที่ ↗</t>
        </is>
      </c>
    </row>
    <row r="130" ht="20" customHeight="1">
      <c r="A130" s="50" t="inlineStr">
        <is>
          <t>bangkok-restaurant-krua-nai-suan-suan-rot-fai</t>
        </is>
      </c>
      <c r="B130" s="51" t="inlineStr">
        <is>
          <t>restaurant</t>
        </is>
      </c>
      <c r="C130" s="52" t="inlineStr">
        <is>
          <t>Krua Nai Suan (ครัวในสวน) สวนรถไฟ</t>
        </is>
      </c>
      <c r="D130" s="53" t="inlineStr">
        <is>
          <t>จตุจักร</t>
        </is>
      </c>
      <c r="E130" s="54" t="n">
        <v>13.8166</v>
      </c>
      <c r="F130" s="55" t="n">
        <v>100.55366</v>
      </c>
      <c r="G130" s="56" t="inlineStr">
        <is>
          <t>localFood,nature,family</t>
        </is>
      </c>
      <c r="H130" s="51" t="n">
        <v>2</v>
      </c>
      <c r="I130" s="57" t="n">
        <v>4.1</v>
      </c>
      <c r="J130" s="58" t="inlineStr">
        <is>
          <t>11:00-23:00</t>
        </is>
      </c>
      <c r="K130" s="51" t="inlineStr">
        <is>
          <t>11:00-23:00</t>
        </is>
      </c>
      <c r="L130" s="51" t="inlineStr">
        <is>
          <t>11:00-23:00</t>
        </is>
      </c>
      <c r="M130" s="51" t="inlineStr">
        <is>
          <t>11:00-23:00</t>
        </is>
      </c>
      <c r="N130" s="51" t="inlineStr">
        <is>
          <t>11:00-23:00</t>
        </is>
      </c>
      <c r="O130" s="51" t="inlineStr">
        <is>
          <t>11:00-23:00</t>
        </is>
      </c>
      <c r="P130" s="51" t="inlineStr">
        <is>
          <t>11:00-23:00</t>
        </is>
      </c>
      <c r="Q130" s="58" t="n">
        <v>60</v>
      </c>
      <c r="R130" s="59" t="n">
        <v>0</v>
      </c>
      <c r="S130" s="53" t="inlineStr">
        <is>
          <t>ร้านอาหารไทยในสวนวชิรเบญจทัศ (สวนรถไฟ)</t>
        </is>
      </c>
      <c r="T130" s="51" t="n"/>
      <c r="U130" s="58" t="inlineStr">
        <is>
          <t>Y</t>
        </is>
      </c>
      <c r="V130" s="53" t="n"/>
      <c r="W130" s="53" t="n"/>
      <c r="X130" s="60" t="inlineStr">
        <is>
          <t>ร้านอาหาร</t>
        </is>
      </c>
      <c r="Y130" s="61" t="inlineStr">
        <is>
          <t>สวนวชิรเบญจทัศ (สวนรถไฟ)</t>
        </is>
      </c>
      <c r="Z130" s="62" t="n">
        <v>0.32</v>
      </c>
      <c r="AA130" s="61" t="inlineStr">
        <is>
          <t>ครัวในสวน สวนรถไฟจตุจักร</t>
        </is>
      </c>
      <c r="AB130" s="63" t="n">
        <v>515</v>
      </c>
      <c r="AC130" s="61" t="inlineStr">
        <is>
          <t>ร้านอาหาร</t>
        </is>
      </c>
      <c r="AD130" s="61" t="inlineStr">
        <is>
          <t>Google Maps (รายวัน)</t>
        </is>
      </c>
      <c r="AE130" s="61" t="inlineStr">
        <is>
          <t>ทุกวัน 11:00-23:00 (เสาร์)</t>
        </is>
      </c>
      <c r="AF130" s="61" t="inlineStr">
        <is>
          <t>ประมาณการจากประเภทร้าน/ทำเล (ยังไม่ยืนยัน)</t>
        </is>
      </c>
      <c r="AG130" s="63" t="n"/>
      <c r="AH130" s="61" t="inlineStr">
        <is>
          <t>ในสวนวชิรเบญจทัศ ถ.กำแพงเพชร 3 จตุจักร</t>
        </is>
      </c>
      <c r="AI130" s="61" t="inlineStr">
        <is>
          <t>+66 83 849 7738</t>
        </is>
      </c>
      <c r="AJ130" s="61" t="inlineStr">
        <is>
          <t>ChIJV1rnpl2c4jARyPXKBBAlWlA</t>
        </is>
      </c>
      <c r="AK130" s="64" t="inlineStr">
        <is>
          <t>เปิดแผนที่ ↗</t>
        </is>
      </c>
    </row>
    <row r="131" ht="20" customHeight="1">
      <c r="A131" s="50" t="inlineStr">
        <is>
          <t>bangkok-restaurant-thitaree-suan-rot-fai</t>
        </is>
      </c>
      <c r="B131" s="51" t="inlineStr">
        <is>
          <t>restaurant</t>
        </is>
      </c>
      <c r="C131" s="52" t="inlineStr">
        <is>
          <t>Thitaree</t>
        </is>
      </c>
      <c r="D131" s="53" t="inlineStr">
        <is>
          <t>จตุจักร</t>
        </is>
      </c>
      <c r="E131" s="54" t="n">
        <v>13.81586</v>
      </c>
      <c r="F131" s="55" t="n">
        <v>100.55312</v>
      </c>
      <c r="G131" s="56" t="inlineStr">
        <is>
          <t>localFood,cafe</t>
        </is>
      </c>
      <c r="H131" s="51" t="n">
        <v>2</v>
      </c>
      <c r="I131" s="57" t="n">
        <v>4.7</v>
      </c>
      <c r="J131" s="58" t="inlineStr">
        <is>
          <t>09:00-21:00</t>
        </is>
      </c>
      <c r="K131" s="51" t="inlineStr">
        <is>
          <t>09:00-21:00</t>
        </is>
      </c>
      <c r="L131" s="51" t="inlineStr">
        <is>
          <t>09:00-21:00</t>
        </is>
      </c>
      <c r="M131" s="51" t="inlineStr">
        <is>
          <t>09:00-21:00</t>
        </is>
      </c>
      <c r="N131" s="51" t="inlineStr">
        <is>
          <t>09:00-21:00</t>
        </is>
      </c>
      <c r="O131" s="51" t="inlineStr">
        <is>
          <t>08:00-21:00</t>
        </is>
      </c>
      <c r="P131" s="51" t="inlineStr">
        <is>
          <t>08:00-21:00</t>
        </is>
      </c>
      <c r="Q131" s="58" t="n">
        <v>60</v>
      </c>
      <c r="R131" s="59" t="n">
        <v>0</v>
      </c>
      <c r="S131" s="53" t="inlineStr">
        <is>
          <t>ร้านอาหารไทยและคาเฟ่ ริมสวนรถไฟ</t>
        </is>
      </c>
      <c r="T131" s="51" t="n"/>
      <c r="U131" s="58" t="inlineStr">
        <is>
          <t>Y</t>
        </is>
      </c>
      <c r="V131" s="53" t="n"/>
      <c r="W131" s="53" t="inlineStr">
        <is>
          <t>เวลาจริงไม่ใช่ "ทุกวัน" ตามตารางเดิม (เดิมเช็กแค่วันเสาร์)</t>
        </is>
      </c>
      <c r="X131" s="60" t="inlineStr">
        <is>
          <t>ร้านอาหาร</t>
        </is>
      </c>
      <c r="Y131" s="61" t="inlineStr">
        <is>
          <t>สวนวชิรเบญจทัศ (สวนรถไฟ)</t>
        </is>
      </c>
      <c r="Z131" s="62" t="n">
        <v>0.25</v>
      </c>
      <c r="AA131" s="61" t="inlineStr">
        <is>
          <t>Thitaree Restaurant (ฐิตารีย์-สวนรถไฟ)</t>
        </is>
      </c>
      <c r="AB131" s="63" t="n">
        <v>2278</v>
      </c>
      <c r="AC131" s="61" t="inlineStr">
        <is>
          <t>ภัตตาคารอาหารไทย, ร้านกาแฟ, ร้านอาหาร, ร้านสเต็ก</t>
        </is>
      </c>
      <c r="AD131" s="61" t="inlineStr">
        <is>
          <t>Google Maps (รายวัน)</t>
        </is>
      </c>
      <c r="AE131" s="61" t="inlineStr">
        <is>
          <t>ทุกวัน 08:00-21:00 (เสาร์)</t>
        </is>
      </c>
      <c r="AF131" s="61" t="inlineStr">
        <is>
          <t>ประมาณการจากประเภทร้าน/ทำเล (ยังไม่ยืนยัน)</t>
        </is>
      </c>
      <c r="AG131" s="63" t="n"/>
      <c r="AH131" s="61" t="inlineStr">
        <is>
          <t>ซ.สวนรถไฟ จตุจักร</t>
        </is>
      </c>
      <c r="AI131" s="61" t="inlineStr">
        <is>
          <t>+66 86 334 1729</t>
        </is>
      </c>
      <c r="AJ131" s="61" t="inlineStr">
        <is>
          <t>ChIJi6lebF2c4jARktKBDI99zQA</t>
        </is>
      </c>
      <c r="AK131" s="64" t="inlineStr">
        <is>
          <t>เปิดแผนที่ ↗</t>
        </is>
      </c>
    </row>
    <row r="132" ht="20" customHeight="1">
      <c r="A132" s="50" t="inlineStr">
        <is>
          <t>bangkok-restaurant-tales-me-more</t>
        </is>
      </c>
      <c r="B132" s="51" t="inlineStr">
        <is>
          <t>restaurant</t>
        </is>
      </c>
      <c r="C132" s="52" t="inlineStr">
        <is>
          <t>TALES ME MORE</t>
        </is>
      </c>
      <c r="D132" s="53" t="inlineStr">
        <is>
          <t>จตุจักร</t>
        </is>
      </c>
      <c r="E132" s="54" t="n">
        <v>13.81708</v>
      </c>
      <c r="F132" s="55" t="n">
        <v>100.55493</v>
      </c>
      <c r="G132" s="56" t="inlineStr">
        <is>
          <t>cafe</t>
        </is>
      </c>
      <c r="H132" s="51" t="n">
        <v>2</v>
      </c>
      <c r="I132" s="57" t="n">
        <v>4.7</v>
      </c>
      <c r="J132" s="58" t="inlineStr">
        <is>
          <t>11:00-23:00</t>
        </is>
      </c>
      <c r="K132" s="51" t="inlineStr">
        <is>
          <t>11:30-23:00</t>
        </is>
      </c>
      <c r="L132" s="51" t="inlineStr">
        <is>
          <t>11:00-23:00</t>
        </is>
      </c>
      <c r="M132" s="51" t="inlineStr">
        <is>
          <t>11:00-23:00</t>
        </is>
      </c>
      <c r="N132" s="51" t="inlineStr">
        <is>
          <t>11:00-23:00</t>
        </is>
      </c>
      <c r="O132" s="51" t="inlineStr">
        <is>
          <t>11:00-23:00</t>
        </is>
      </c>
      <c r="P132" s="51" t="inlineStr">
        <is>
          <t>11:00-23:00</t>
        </is>
      </c>
      <c r="Q132" s="58" t="n">
        <v>60</v>
      </c>
      <c r="R132" s="59" t="n">
        <v>0</v>
      </c>
      <c r="S132" s="53" t="inlineStr">
        <is>
          <t>คาเฟ่และร้านอาหารบริเวณสวนรถไฟ</t>
        </is>
      </c>
      <c r="T132" s="51" t="n"/>
      <c r="U132" s="58" t="inlineStr">
        <is>
          <t>Y</t>
        </is>
      </c>
      <c r="V132" s="53" t="n"/>
      <c r="W132" s="53" t="inlineStr">
        <is>
          <t>เวลาจริงไม่ใช่ "ทุกวัน" ตามตารางเดิม (เดิมเช็กแค่วันเสาร์)</t>
        </is>
      </c>
      <c r="X132" s="60" t="inlineStr">
        <is>
          <t>ร้านอาหาร</t>
        </is>
      </c>
      <c r="Y132" s="61" t="inlineStr">
        <is>
          <t>สวนวชิรเบญจทัศ (สวนรถไฟ)</t>
        </is>
      </c>
      <c r="Z132" s="62" t="n">
        <v>0.4</v>
      </c>
      <c r="AA132" s="61" t="inlineStr">
        <is>
          <t>TALES ME MORE - Cafe’ &amp; Restaurant</t>
        </is>
      </c>
      <c r="AB132" s="63" t="n">
        <v>1478</v>
      </c>
      <c r="AC132" s="61" t="inlineStr">
        <is>
          <t>ร้านอาหาร</t>
        </is>
      </c>
      <c r="AD132" s="61" t="inlineStr">
        <is>
          <t>Google Maps (รายวัน)</t>
        </is>
      </c>
      <c r="AE132" s="61" t="inlineStr">
        <is>
          <t>ทุกวัน 11:00-23:00 (เสาร์)</t>
        </is>
      </c>
      <c r="AF132" s="61" t="inlineStr">
        <is>
          <t>ประมาณการจากประเภทร้าน/ทำเล (ยังไม่ยืนยัน)</t>
        </is>
      </c>
      <c r="AG132" s="63" t="n"/>
      <c r="AH132" s="61" t="inlineStr">
        <is>
          <t>บริเวณสวนรถไฟ จตุจักร</t>
        </is>
      </c>
      <c r="AI132" s="61" t="inlineStr">
        <is>
          <t>+66 81 860 6589</t>
        </is>
      </c>
      <c r="AJ132" s="61" t="inlineStr">
        <is>
          <t>ChIJP43UUlyc4jAR7vOhOeBngB8</t>
        </is>
      </c>
      <c r="AK132" s="64" t="inlineStr">
        <is>
          <t>เปิดแผนที่ ↗</t>
        </is>
      </c>
    </row>
    <row r="133" ht="20" customHeight="1">
      <c r="A133" s="50" t="inlineStr">
        <is>
          <t>bangkok-restaurant-hey-beanstro-oasis</t>
        </is>
      </c>
      <c r="B133" s="51" t="inlineStr">
        <is>
          <t>restaurant</t>
        </is>
      </c>
      <c r="C133" s="52" t="inlineStr">
        <is>
          <t>HEY! Beanstro (Oasis)</t>
        </is>
      </c>
      <c r="D133" s="53" t="inlineStr">
        <is>
          <t>จตุจักร</t>
        </is>
      </c>
      <c r="E133" s="54" t="n">
        <v>13.8077206</v>
      </c>
      <c r="F133" s="55" t="n">
        <v>100.55866</v>
      </c>
      <c r="G133" s="56" t="inlineStr">
        <is>
          <t>cafe</t>
        </is>
      </c>
      <c r="H133" s="51" t="n">
        <v>2</v>
      </c>
      <c r="I133" s="57" t="n">
        <v>4.6</v>
      </c>
      <c r="J133" s="58" t="inlineStr">
        <is>
          <t>07:00-23:00</t>
        </is>
      </c>
      <c r="K133" s="51" t="inlineStr">
        <is>
          <t>07:00-23:00</t>
        </is>
      </c>
      <c r="L133" s="51" t="inlineStr">
        <is>
          <t>07:00-23:00</t>
        </is>
      </c>
      <c r="M133" s="51" t="inlineStr">
        <is>
          <t>07:00-23:00</t>
        </is>
      </c>
      <c r="N133" s="51" t="inlineStr">
        <is>
          <t>07:00-23:00</t>
        </is>
      </c>
      <c r="O133" s="51" t="inlineStr">
        <is>
          <t>07:00-23:00</t>
        </is>
      </c>
      <c r="P133" s="51" t="inlineStr">
        <is>
          <t>07:00-23:00</t>
        </is>
      </c>
      <c r="Q133" s="58" t="n">
        <v>30</v>
      </c>
      <c r="R133" s="59" t="n">
        <v>0</v>
      </c>
      <c r="S133" s="53" t="inlineStr">
        <is>
          <t>ร้านกาแฟในอาคารโอเอซิส ถนนวิภาวดีรังสิต</t>
        </is>
      </c>
      <c r="T133" s="51" t="n"/>
      <c r="U133" s="58" t="inlineStr">
        <is>
          <t>N</t>
        </is>
      </c>
      <c r="V133" s="53" t="n"/>
      <c r="W133" s="53" t="n"/>
      <c r="X133" s="60" t="inlineStr">
        <is>
          <t>ร้านเครื่องดื่ม</t>
        </is>
      </c>
      <c r="Y133" s="61" t="inlineStr">
        <is>
          <t>สวนวชิรเบญจทัศ (สวนรถไฟ)</t>
        </is>
      </c>
      <c r="Z133" s="62" t="n">
        <v>0.86</v>
      </c>
      <c r="AA133" s="61" t="inlineStr">
        <is>
          <t>HEY! Beanstro</t>
        </is>
      </c>
      <c r="AB133" s="63" t="n">
        <v>477</v>
      </c>
      <c r="AC133" s="61" t="inlineStr">
        <is>
          <t>ร้านกาแฟ</t>
        </is>
      </c>
      <c r="AD133" s="61" t="inlineStr">
        <is>
          <t>Google Maps (รายวัน)</t>
        </is>
      </c>
      <c r="AE133" s="61" t="inlineStr">
        <is>
          <t>ทุกวัน 07:00-23:00</t>
        </is>
      </c>
      <c r="AF133" s="61" t="inlineStr">
        <is>
          <t>ประมาณการจากประเภทร้าน/ทำเล (ยังไม่ยืนยัน)</t>
        </is>
      </c>
      <c r="AG133" s="63" t="n"/>
      <c r="AH133" s="61" t="inlineStr">
        <is>
          <t>199 อาคารโอเอซิส ถ.วิภาวดีรังสิต จอมพล จตุจักร</t>
        </is>
      </c>
      <c r="AI133" s="61" t="inlineStr">
        <is>
          <t>+66 82 297 9288</t>
        </is>
      </c>
      <c r="AJ133" s="61" t="inlineStr">
        <is>
          <t>ChIJS05aNayd4jARo_eN8wMGhjM</t>
        </is>
      </c>
      <c r="AK133" s="64" t="inlineStr">
        <is>
          <t>เปิดแผนที่ ↗</t>
        </is>
      </c>
    </row>
    <row r="134" ht="20" customHeight="1">
      <c r="A134" s="50" t="inlineStr">
        <is>
          <t>bangkok-restaurant-narisa-cafe</t>
        </is>
      </c>
      <c r="B134" s="51" t="inlineStr">
        <is>
          <t>restaurant</t>
        </is>
      </c>
      <c r="C134" s="52" t="inlineStr">
        <is>
          <t>Narisa Cafe &amp; Creative Space</t>
        </is>
      </c>
      <c r="D134" s="53" t="inlineStr">
        <is>
          <t>จตุจักร</t>
        </is>
      </c>
      <c r="E134" s="54" t="n">
        <v>13.8189567</v>
      </c>
      <c r="F134" s="55" t="n">
        <v>100.5622949</v>
      </c>
      <c r="G134" s="56" t="inlineStr">
        <is>
          <t>cafe,artCulture</t>
        </is>
      </c>
      <c r="H134" s="51" t="n">
        <v>2</v>
      </c>
      <c r="I134" s="57" t="n">
        <v>4.7</v>
      </c>
      <c r="J134" s="58" t="inlineStr">
        <is>
          <t>10:00-20:30</t>
        </is>
      </c>
      <c r="K134" s="51" t="inlineStr">
        <is>
          <t>10:00-20:30</t>
        </is>
      </c>
      <c r="L134" s="51" t="n"/>
      <c r="M134" s="51" t="inlineStr">
        <is>
          <t>10:00-20:30</t>
        </is>
      </c>
      <c r="N134" s="51" t="inlineStr">
        <is>
          <t>10:00-21:00</t>
        </is>
      </c>
      <c r="O134" s="51" t="inlineStr">
        <is>
          <t>09:00-21:00</t>
        </is>
      </c>
      <c r="P134" s="51" t="inlineStr">
        <is>
          <t>09:00-21:00</t>
        </is>
      </c>
      <c r="Q134" s="58" t="n">
        <v>45</v>
      </c>
      <c r="R134" s="59" t="n">
        <v>0</v>
      </c>
      <c r="S134" s="53" t="inlineStr">
        <is>
          <t>คาเฟ่และพื้นที่สร้างสรรค์ มีอาหาร ย่านจตุจักร</t>
        </is>
      </c>
      <c r="T134" s="51" t="n"/>
      <c r="U134" s="58" t="inlineStr">
        <is>
          <t>Y</t>
        </is>
      </c>
      <c r="V134" s="53" t="n"/>
      <c r="W134" s="53" t="inlineStr">
        <is>
          <t>เปิด 2 ช่วง (sun 9:00–17:00 / 17:30–21:00; mon 10:00–18:00 / 18:30–20:30; tue 10:00–18:00 / 18:30–20:30; thu 10:00–18:00 / 18:30–20:30; fri 10:00–18:00 / 18:30–21:00; sat 9:00–17:00 / 17:30–21:00) ระบบรองรับช่วงเดียว จึงใส่ช่วงรวม</t>
        </is>
      </c>
      <c r="X134" s="60" t="inlineStr">
        <is>
          <t>ร้านเครื่องดื่ม</t>
        </is>
      </c>
      <c r="Y134" s="61" t="inlineStr">
        <is>
          <t>สวนวชิรเบญจทัศ (สวนรถไฟ)</t>
        </is>
      </c>
      <c r="Z134" s="62" t="n">
        <v>1.11</v>
      </c>
      <c r="AA134" s="61" t="inlineStr">
        <is>
          <t>Narisa Cafe &amp; Creative Space</t>
        </is>
      </c>
      <c r="AB134" s="63" t="n">
        <v>338</v>
      </c>
      <c r="AC134" s="61" t="inlineStr">
        <is>
          <t>ร้านกาแฟ, ร้านอาหาร</t>
        </is>
      </c>
      <c r="AD134" s="61" t="inlineStr">
        <is>
          <t>Google Maps (รายวัน)</t>
        </is>
      </c>
      <c r="AE134" s="61" t="inlineStr">
        <is>
          <t>จ,อ,พฤ-ศ 10:00-18:00, 18:30-20:30 (ปิดพุธ) / ส-อา 09:00-17:00, 17:30-21:00</t>
        </is>
      </c>
      <c r="AF134" s="61" t="inlineStr">
        <is>
          <t>ประมาณการจากประเภทร้าน/ทำเล (ยังไม่ยืนยัน)</t>
        </is>
      </c>
      <c r="AG134" s="63" t="n"/>
      <c r="AH134" s="61" t="inlineStr">
        <is>
          <t>5 ซ.พิมนต์ จตุจักร</t>
        </is>
      </c>
      <c r="AI134" s="61" t="inlineStr">
        <is>
          <t>+66 95 339 6365</t>
        </is>
      </c>
      <c r="AJ134" s="61" t="inlineStr">
        <is>
          <t>ChIJu9WLOA2d4jARbdmUI1KdnFk</t>
        </is>
      </c>
      <c r="AK134" s="64" t="inlineStr">
        <is>
          <t>เปิดแผนที่ ↗</t>
        </is>
      </c>
    </row>
    <row r="135" ht="20" customHeight="1">
      <c r="A135" s="50" t="inlineStr">
        <is>
          <t>bangkok-restaurant-daisycafebkk</t>
        </is>
      </c>
      <c r="B135" s="51" t="inlineStr">
        <is>
          <t>restaurant</t>
        </is>
      </c>
      <c r="C135" s="52" t="inlineStr">
        <is>
          <t>Daisycafebkk 2nd floor cafe &amp; bake house</t>
        </is>
      </c>
      <c r="D135" s="53" t="inlineStr">
        <is>
          <t>จตุจักร</t>
        </is>
      </c>
      <c r="E135" s="54" t="n">
        <v>13.8017788</v>
      </c>
      <c r="F135" s="55" t="n">
        <v>100.5560853</v>
      </c>
      <c r="G135" s="56" t="inlineStr">
        <is>
          <t>cafe</t>
        </is>
      </c>
      <c r="H135" s="51" t="n">
        <v>2</v>
      </c>
      <c r="I135" s="57" t="n">
        <v>5</v>
      </c>
      <c r="J135" s="58" t="inlineStr">
        <is>
          <t>09:30-18:00</t>
        </is>
      </c>
      <c r="K135" s="51" t="inlineStr">
        <is>
          <t>09:30-18:00</t>
        </is>
      </c>
      <c r="L135" s="51" t="inlineStr">
        <is>
          <t>09:30-18:00</t>
        </is>
      </c>
      <c r="M135" s="51" t="inlineStr">
        <is>
          <t>09:30-18:00</t>
        </is>
      </c>
      <c r="N135" s="51" t="inlineStr">
        <is>
          <t>09:30-18:00</t>
        </is>
      </c>
      <c r="O135" s="51" t="inlineStr">
        <is>
          <t>10:00-18:00</t>
        </is>
      </c>
      <c r="P135" s="51" t="inlineStr">
        <is>
          <t>10:00-18:00</t>
        </is>
      </c>
      <c r="Q135" s="58" t="n">
        <v>30</v>
      </c>
      <c r="R135" s="59" t="n">
        <v>0</v>
      </c>
      <c r="S135" s="53" t="inlineStr">
        <is>
          <t>คาเฟ่และเบเกอรี่ชั้น 2 ซอยพหลโยธิน 18/1</t>
        </is>
      </c>
      <c r="T135" s="51" t="n"/>
      <c r="U135" s="58" t="inlineStr">
        <is>
          <t>N</t>
        </is>
      </c>
      <c r="V135" s="53" t="n"/>
      <c r="W135" s="53" t="n"/>
      <c r="X135" s="60" t="inlineStr">
        <is>
          <t>ร้านเครื่องดื่ม</t>
        </is>
      </c>
      <c r="Y135" s="61" t="inlineStr">
        <is>
          <t>สวนวชิรเบญจทัศ (สวนรถไฟ)</t>
        </is>
      </c>
      <c r="Z135" s="62" t="n">
        <v>1.35</v>
      </c>
      <c r="AA135" s="61" t="inlineStr">
        <is>
          <t>Daisycafebkk 2nd floor cafe &amp; bake house</t>
        </is>
      </c>
      <c r="AB135" s="63" t="n">
        <v>227</v>
      </c>
      <c r="AC135" s="61" t="inlineStr">
        <is>
          <t>ร้านกาแฟ</t>
        </is>
      </c>
      <c r="AD135" s="61" t="inlineStr">
        <is>
          <t>Google Maps (รายวัน)</t>
        </is>
      </c>
      <c r="AE135" s="61" t="inlineStr">
        <is>
          <t>จ-ศ 09:30-18:00 / ส-อา 10:00-18:00</t>
        </is>
      </c>
      <c r="AF135" s="61" t="inlineStr">
        <is>
          <t>ประมาณการจากประเภทร้าน/ทำเล (ยังไม่ยืนยัน)</t>
        </is>
      </c>
      <c r="AG135" s="63" t="n"/>
      <c r="AH135" s="61" t="inlineStr">
        <is>
          <t>1032/67 ซ.พหลโยธิน 18/1 จอมพล จตุจักร</t>
        </is>
      </c>
      <c r="AI135" s="61" t="inlineStr">
        <is>
          <t>+66 94 339 9159</t>
        </is>
      </c>
      <c r="AJ135" s="61" t="inlineStr">
        <is>
          <t>ChIJv-hmh3Sd4jARWpoYBlCmw3c</t>
        </is>
      </c>
      <c r="AK135" s="64" t="inlineStr">
        <is>
          <t>เปิดแผนที่ ↗</t>
        </is>
      </c>
    </row>
    <row r="136" ht="20" customHeight="1">
      <c r="A136" s="50" t="inlineStr">
        <is>
          <t>bangkok-restaurant-krua-thip-kanom-thai</t>
        </is>
      </c>
      <c r="B136" s="51" t="inlineStr">
        <is>
          <t>restaurant</t>
        </is>
      </c>
      <c r="C136" s="52" t="inlineStr">
        <is>
          <t>Krua Thip Kanom Thai (ครัวทิพย์ขนมไทย)</t>
        </is>
      </c>
      <c r="D136" s="53" t="inlineStr">
        <is>
          <t>จตุจักร</t>
        </is>
      </c>
      <c r="E136" s="54" t="n">
        <v>13.8122153</v>
      </c>
      <c r="F136" s="55" t="n">
        <v>100.5629361</v>
      </c>
      <c r="G136" s="56" t="inlineStr">
        <is>
          <t>localFood</t>
        </is>
      </c>
      <c r="H136" s="51" t="n">
        <v>1</v>
      </c>
      <c r="I136" s="57" t="n">
        <v>4.3</v>
      </c>
      <c r="J136" s="58" t="inlineStr">
        <is>
          <t>07:00-17:00</t>
        </is>
      </c>
      <c r="K136" s="51" t="inlineStr">
        <is>
          <t>07:00-17:00</t>
        </is>
      </c>
      <c r="L136" s="51" t="inlineStr">
        <is>
          <t>07:00-17:00</t>
        </is>
      </c>
      <c r="M136" s="51" t="inlineStr">
        <is>
          <t>07:00-17:00</t>
        </is>
      </c>
      <c r="N136" s="51" t="inlineStr">
        <is>
          <t>07:00-17:00</t>
        </is>
      </c>
      <c r="O136" s="51" t="inlineStr">
        <is>
          <t>07:00-17:00</t>
        </is>
      </c>
      <c r="P136" s="51" t="inlineStr">
        <is>
          <t>07:00-16:00</t>
        </is>
      </c>
      <c r="Q136" s="58" t="n">
        <v>20</v>
      </c>
      <c r="R136" s="59" t="n">
        <v>0</v>
      </c>
      <c r="S136" s="53" t="inlineStr">
        <is>
          <t>ร้านขนมหวานไทย ซอยลาดพร้าว 1</t>
        </is>
      </c>
      <c r="T136" s="51" t="n"/>
      <c r="U136" s="58" t="inlineStr">
        <is>
          <t>N</t>
        </is>
      </c>
      <c r="V136" s="53" t="n"/>
      <c r="W136" s="53" t="n"/>
      <c r="X136" s="60" t="inlineStr">
        <is>
          <t>ร้านของหวาน</t>
        </is>
      </c>
      <c r="Y136" s="61" t="inlineStr">
        <is>
          <t>สวนวชิรเบญจทัศ (สวนรถไฟ)</t>
        </is>
      </c>
      <c r="Z136" s="62" t="n">
        <v>1.02</v>
      </c>
      <c r="AA136" s="61" t="inlineStr">
        <is>
          <t>เครือทิพย์ ขนมหวานไทย สาขา ลาดพร้าว ซอย 1</t>
        </is>
      </c>
      <c r="AB136" s="63" t="n">
        <v>50</v>
      </c>
      <c r="AC136" s="61" t="inlineStr">
        <is>
          <t>ร้านขนมหวาน, ร้านขนม</t>
        </is>
      </c>
      <c r="AD136" s="61" t="inlineStr">
        <is>
          <t>Google Maps (รายวัน)</t>
        </is>
      </c>
      <c r="AE136" s="61" t="inlineStr">
        <is>
          <t>จ-ส 07:00-17:00 / อา 07:00-16:00</t>
        </is>
      </c>
      <c r="AF136" s="61" t="inlineStr">
        <is>
          <t>ประมาณการจากประเภทร้าน/ทำเล (ยังไม่ยืนยัน)</t>
        </is>
      </c>
      <c r="AG136" s="63" t="n"/>
      <c r="AH136" s="61" t="inlineStr">
        <is>
          <t>189/44 ซ.ลาดพร้าว 1 จอมพล จตุจักร</t>
        </is>
      </c>
      <c r="AI136" s="61" t="inlineStr">
        <is>
          <t>+66 2 513 3698</t>
        </is>
      </c>
      <c r="AJ136" s="61" t="inlineStr">
        <is>
          <t>ChIJyz_XXkWc4jARLVTuJr2atoM</t>
        </is>
      </c>
      <c r="AK136" s="64" t="inlineStr">
        <is>
          <t>เปิดแผนที่ ↗</t>
        </is>
      </c>
    </row>
    <row r="137" ht="20" customHeight="1">
      <c r="A137" s="50" t="inlineStr">
        <is>
          <t>bangkok-restaurant-bowcake-central-ladprao</t>
        </is>
      </c>
      <c r="B137" s="51" t="inlineStr">
        <is>
          <t>restaurant</t>
        </is>
      </c>
      <c r="C137" s="52" t="inlineStr">
        <is>
          <t>Bowcake โบว์เค้ก เซ็นทรัลลาดพร้าว</t>
        </is>
      </c>
      <c r="D137" s="53" t="inlineStr">
        <is>
          <t>จตุจักร</t>
        </is>
      </c>
      <c r="E137" s="54" t="n">
        <v>13.8161142</v>
      </c>
      <c r="F137" s="55" t="n">
        <v>100.560128</v>
      </c>
      <c r="G137" s="56" t="inlineStr">
        <is>
          <t>cafe</t>
        </is>
      </c>
      <c r="H137" s="51" t="n">
        <v>2</v>
      </c>
      <c r="I137" s="57" t="n">
        <v>5</v>
      </c>
      <c r="J137" s="58" t="inlineStr">
        <is>
          <t>09:00-22:00</t>
        </is>
      </c>
      <c r="K137" s="51" t="inlineStr">
        <is>
          <t>09:00-22:00</t>
        </is>
      </c>
      <c r="L137" s="51" t="inlineStr">
        <is>
          <t>09:00-22:00</t>
        </is>
      </c>
      <c r="M137" s="51" t="inlineStr">
        <is>
          <t>09:00-22:00</t>
        </is>
      </c>
      <c r="N137" s="51" t="inlineStr">
        <is>
          <t>09:00-22:00</t>
        </is>
      </c>
      <c r="O137" s="51" t="inlineStr">
        <is>
          <t>09:00-22:00</t>
        </is>
      </c>
      <c r="P137" s="51" t="inlineStr">
        <is>
          <t>09:00-22:00</t>
        </is>
      </c>
      <c r="Q137" s="58" t="n">
        <v>20</v>
      </c>
      <c r="R137" s="59" t="n">
        <v>0</v>
      </c>
      <c r="S137" s="53" t="inlineStr">
        <is>
          <t>ร้านเค้กในเซ็นทรัลลาดพร้าว ชั้น G</t>
        </is>
      </c>
      <c r="T137" s="51" t="n"/>
      <c r="U137" s="58" t="inlineStr">
        <is>
          <t>N</t>
        </is>
      </c>
      <c r="V137" s="53" t="n"/>
      <c r="W137" s="53" t="n"/>
      <c r="X137" s="60" t="inlineStr">
        <is>
          <t>ร้านของหวาน</t>
        </is>
      </c>
      <c r="Y137" s="61" t="inlineStr">
        <is>
          <t>สวนวชิรเบญจทัศ (สวนรถไฟ)</t>
        </is>
      </c>
      <c r="Z137" s="62" t="n">
        <v>0.75</v>
      </c>
      <c r="AA137" s="61" t="inlineStr">
        <is>
          <t>Bowcake โบว์เค้ก เซ็นทรัลลาดพร้าว</t>
        </is>
      </c>
      <c r="AB137" s="63" t="n">
        <v>206</v>
      </c>
      <c r="AC137" s="61" t="inlineStr">
        <is>
          <t>ร้านเบเกอรี่, ร้านเค้ก</t>
        </is>
      </c>
      <c r="AD137" s="61" t="inlineStr">
        <is>
          <t>Google Maps (รายวัน)</t>
        </is>
      </c>
      <c r="AE137" s="61" t="inlineStr">
        <is>
          <t>ทุกวัน 09:00-22:00</t>
        </is>
      </c>
      <c r="AF137" s="61" t="inlineStr">
        <is>
          <t>ประมาณการจากประเภทร้าน/ทำเล (ยังไม่ยืนยัน)</t>
        </is>
      </c>
      <c r="AG137" s="63" t="n"/>
      <c r="AH137" s="61" t="inlineStr">
        <is>
          <t>ชั้น G Tops Market เซ็นทรัลลาดพร้าว 1693 ถ.พหลโยธิน</t>
        </is>
      </c>
      <c r="AI137" s="61" t="inlineStr">
        <is>
          <t>+66 87 059 0094</t>
        </is>
      </c>
      <c r="AJ137" s="61" t="inlineStr">
        <is>
          <t>ChIJPQz_AX2d4jART00Xk3W7vHM</t>
        </is>
      </c>
      <c r="AK137" s="64" t="inlineStr">
        <is>
          <t>เปิดแผนที่ ↗</t>
        </is>
      </c>
    </row>
    <row r="138" ht="20" customHeight="1">
      <c r="A138" s="50" t="inlineStr">
        <is>
          <t>bangkok-restaurant-butter-bakery-ladprao-18</t>
        </is>
      </c>
      <c r="B138" s="51" t="inlineStr">
        <is>
          <t>restaurant</t>
        </is>
      </c>
      <c r="C138" s="52" t="inlineStr">
        <is>
          <t>butter bakery ladprao18</t>
        </is>
      </c>
      <c r="D138" s="53" t="inlineStr">
        <is>
          <t>จตุจักร</t>
        </is>
      </c>
      <c r="E138" s="54" t="n">
        <v>13.8029334</v>
      </c>
      <c r="F138" s="55" t="n">
        <v>100.5683169</v>
      </c>
      <c r="G138" s="56" t="inlineStr">
        <is>
          <t>cafe</t>
        </is>
      </c>
      <c r="H138" s="51" t="n">
        <v>2</v>
      </c>
      <c r="I138" s="57" t="n">
        <v>4.7</v>
      </c>
      <c r="J138" s="58" t="inlineStr">
        <is>
          <t>08:00-17:00</t>
        </is>
      </c>
      <c r="K138" s="51" t="inlineStr">
        <is>
          <t>08:00-17:00</t>
        </is>
      </c>
      <c r="L138" s="51" t="inlineStr">
        <is>
          <t>08:00-17:00</t>
        </is>
      </c>
      <c r="M138" s="51" t="inlineStr">
        <is>
          <t>08:00-17:00</t>
        </is>
      </c>
      <c r="N138" s="51" t="inlineStr">
        <is>
          <t>08:00-17:00</t>
        </is>
      </c>
      <c r="O138" s="51" t="inlineStr">
        <is>
          <t>08:00-17:00</t>
        </is>
      </c>
      <c r="P138" s="51" t="inlineStr">
        <is>
          <t>08:00-17:00</t>
        </is>
      </c>
      <c r="Q138" s="58" t="n">
        <v>45</v>
      </c>
      <c r="R138" s="59" t="n">
        <v>0</v>
      </c>
      <c r="S138" s="53" t="inlineStr">
        <is>
          <t>ร้านเบเกอรี่และอาหารเช้า-กลางวัน ซอยลาดพร้าว 18</t>
        </is>
      </c>
      <c r="T138" s="51" t="n"/>
      <c r="U138" s="58" t="inlineStr">
        <is>
          <t>Y</t>
        </is>
      </c>
      <c r="V138" s="53" t="n"/>
      <c r="W138" s="53" t="n"/>
      <c r="X138" s="60" t="inlineStr">
        <is>
          <t>ร้านของหวาน</t>
        </is>
      </c>
      <c r="Y138" s="61" t="inlineStr">
        <is>
          <t>สวนวชิรเบญจทัศ (สวนรถไฟ)</t>
        </is>
      </c>
      <c r="Z138" s="62" t="n">
        <v>1.99</v>
      </c>
      <c r="AA138" s="61" t="inlineStr">
        <is>
          <t>butter bakery ladprao18</t>
        </is>
      </c>
      <c r="AB138" s="63" t="n">
        <v>362</v>
      </c>
      <c r="AC138" s="61" t="inlineStr">
        <is>
          <t>ร้านเบเกอรี่, ภัตตาคารอาหารเช้า, ภัตตาคารอาหารเช้าและกลางวัน, ร้านอาหาร</t>
        </is>
      </c>
      <c r="AD138" s="61" t="inlineStr">
        <is>
          <t>Google Maps (รายวัน)</t>
        </is>
      </c>
      <c r="AE138" s="61" t="inlineStr">
        <is>
          <t>ทุกวัน 08:00-17:00</t>
        </is>
      </c>
      <c r="AF138" s="61" t="inlineStr">
        <is>
          <t>ประมาณการจากประเภทร้าน/ทำเล (ยังไม่ยืนยัน)</t>
        </is>
      </c>
      <c r="AG138" s="63" t="n"/>
      <c r="AH138" s="61" t="inlineStr">
        <is>
          <t>35/37 ซ.ลาดพร้าว 18 แยก 10 จอมพล จตุจักร</t>
        </is>
      </c>
      <c r="AI138" s="61" t="inlineStr">
        <is>
          <t>+66 64 935 2949</t>
        </is>
      </c>
      <c r="AJ138" s="61" t="inlineStr">
        <is>
          <t>ChIJgxZH79-d4jARdL5BQd0W0eM</t>
        </is>
      </c>
      <c r="AK138" s="64" t="inlineStr">
        <is>
          <t>เปิดแผนที่ ↗</t>
        </is>
      </c>
    </row>
    <row r="139" ht="20" customHeight="1">
      <c r="A139" s="50" t="inlineStr">
        <is>
          <t>bangkok-restaurant-zaab-kak-kak</t>
        </is>
      </c>
      <c r="B139" s="51" t="inlineStr">
        <is>
          <t>restaurant</t>
        </is>
      </c>
      <c r="C139" s="52" t="inlineStr">
        <is>
          <t>Zaab Kak Kak</t>
        </is>
      </c>
      <c r="D139" s="53" t="inlineStr">
        <is>
          <t>สุขุมวิท</t>
        </is>
      </c>
      <c r="E139" s="54" t="n">
        <v>13.73078</v>
      </c>
      <c r="F139" s="55" t="n">
        <v>100.56112</v>
      </c>
      <c r="G139" s="56" t="inlineStr">
        <is>
          <t>localFood</t>
        </is>
      </c>
      <c r="H139" s="51" t="n">
        <v>2</v>
      </c>
      <c r="I139" s="57" t="n">
        <v>4.5</v>
      </c>
      <c r="J139" s="58" t="inlineStr">
        <is>
          <t>11:00-22:00</t>
        </is>
      </c>
      <c r="K139" s="51" t="inlineStr">
        <is>
          <t>11:00-22:00</t>
        </is>
      </c>
      <c r="L139" s="51" t="inlineStr">
        <is>
          <t>11:00-22:00</t>
        </is>
      </c>
      <c r="M139" s="51" t="inlineStr">
        <is>
          <t>11:00-22:00</t>
        </is>
      </c>
      <c r="N139" s="51" t="inlineStr">
        <is>
          <t>11:00-22:00</t>
        </is>
      </c>
      <c r="O139" s="51" t="inlineStr">
        <is>
          <t>11:00-22:00</t>
        </is>
      </c>
      <c r="P139" s="51" t="n"/>
      <c r="Q139" s="58" t="n">
        <v>60</v>
      </c>
      <c r="R139" s="59" t="n">
        <v>0</v>
      </c>
      <c r="S139" s="53" t="inlineStr">
        <is>
          <t>ร้านอาหารอีสาน ซอยสุขุมวิท 16 ใกล้สวนเบญจกิติ</t>
        </is>
      </c>
      <c r="T139" s="51" t="n"/>
      <c r="U139" s="58" t="inlineStr">
        <is>
          <t>Y</t>
        </is>
      </c>
      <c r="V139" s="53" t="n"/>
      <c r="W139" s="53" t="n"/>
      <c r="X139" s="60" t="inlineStr">
        <is>
          <t>ร้านอาหาร</t>
        </is>
      </c>
      <c r="Y139" s="61" t="inlineStr">
        <is>
          <t>สวนเบญจกิติ</t>
        </is>
      </c>
      <c r="Z139" s="62" t="n">
        <v>0.31</v>
      </c>
      <c r="AA139" s="61" t="inlineStr">
        <is>
          <t>แซ่บคักๆ</t>
        </is>
      </c>
      <c r="AB139" s="63" t="n">
        <v>466</v>
      </c>
      <c r="AC139" s="61" t="inlineStr">
        <is>
          <t>ภัตตาคารอาหารไทย</t>
        </is>
      </c>
      <c r="AD139" s="61" t="inlineStr">
        <is>
          <t>Google Maps (รายวัน)</t>
        </is>
      </c>
      <c r="AE139" s="61" t="inlineStr">
        <is>
          <t>จ-ส 11:00-22:00 (ปิดอาทิตย์)</t>
        </is>
      </c>
      <c r="AF139" s="61" t="inlineStr">
        <is>
          <t>ประมาณการจากประเภทร้าน/ทำเล (ยังไม่ยืนยัน)</t>
        </is>
      </c>
      <c r="AG139" s="63" t="n"/>
      <c r="AH139" s="61" t="inlineStr">
        <is>
          <t>37 ซ.สุขุมวิท 16 คลองเตย</t>
        </is>
      </c>
      <c r="AI139" s="61" t="inlineStr">
        <is>
          <t>+66 89 955 6445</t>
        </is>
      </c>
      <c r="AJ139" s="61" t="inlineStr">
        <is>
          <t>ChIJdyUydBWf4jAR5uHs1qUPVDg</t>
        </is>
      </c>
      <c r="AK139" s="64" t="inlineStr">
        <is>
          <t>เปิดแผนที่ ↗</t>
        </is>
      </c>
    </row>
    <row r="140" ht="20" customHeight="1">
      <c r="A140" s="50" t="inlineStr">
        <is>
          <t>bangkok-restaurant-pepe-bangkok</t>
        </is>
      </c>
      <c r="B140" s="51" t="inlineStr">
        <is>
          <t>restaurant</t>
        </is>
      </c>
      <c r="C140" s="52" t="inlineStr">
        <is>
          <t>PEPE Bangkok</t>
        </is>
      </c>
      <c r="D140" s="53" t="inlineStr">
        <is>
          <t>สุขุมวิท</t>
        </is>
      </c>
      <c r="E140" s="54" t="n">
        <v>13.72648</v>
      </c>
      <c r="F140" s="55" t="n">
        <v>100.56154</v>
      </c>
      <c r="G140" s="56" t="n"/>
      <c r="H140" s="51" t="n">
        <v>3</v>
      </c>
      <c r="I140" s="57" t="n">
        <v>4.8</v>
      </c>
      <c r="J140" s="58" t="inlineStr">
        <is>
          <t>17:00-24:00</t>
        </is>
      </c>
      <c r="K140" s="51" t="inlineStr">
        <is>
          <t>17:00-24:00</t>
        </is>
      </c>
      <c r="L140" s="51" t="inlineStr">
        <is>
          <t>17:00-24:00</t>
        </is>
      </c>
      <c r="M140" s="51" t="inlineStr">
        <is>
          <t>17:00-24:00</t>
        </is>
      </c>
      <c r="N140" s="51" t="inlineStr">
        <is>
          <t>17:00-24:00</t>
        </is>
      </c>
      <c r="O140" s="51" t="inlineStr">
        <is>
          <t>17:00-24:00</t>
        </is>
      </c>
      <c r="P140" s="51" t="inlineStr">
        <is>
          <t>17:00-24:00</t>
        </is>
      </c>
      <c r="Q140" s="58" t="n">
        <v>75</v>
      </c>
      <c r="R140" s="59" t="n">
        <v>0</v>
      </c>
      <c r="S140" s="53" t="inlineStr">
        <is>
          <t>ร้านอาหารฟิวชั่นเอเชีย ซอยสุขุมวิท 16</t>
        </is>
      </c>
      <c r="T140" s="51" t="n"/>
      <c r="U140" s="58" t="inlineStr">
        <is>
          <t>Y</t>
        </is>
      </c>
      <c r="V140" s="53" t="inlineStr">
        <is>
          <t>ไม่มีแท็กที่ตรงประเภทอาหาร (อาหารต่างชาติ)</t>
        </is>
      </c>
      <c r="W140" s="53" t="n"/>
      <c r="X140" s="60" t="inlineStr">
        <is>
          <t>ร้านอาหาร</t>
        </is>
      </c>
      <c r="Y140" s="61" t="inlineStr">
        <is>
          <t>สวนเบญจกิติ</t>
        </is>
      </c>
      <c r="Z140" s="62" t="n">
        <v>0.43</v>
      </c>
      <c r="AA140" s="61" t="inlineStr">
        <is>
          <t>PEPE Bangkok</t>
        </is>
      </c>
      <c r="AB140" s="63" t="n">
        <v>961</v>
      </c>
      <c r="AC140" s="61" t="inlineStr">
        <is>
          <t>ร้านอาหารฟิวชั่นเอเชีย, ร้านอาหาร</t>
        </is>
      </c>
      <c r="AD140" s="61" t="inlineStr">
        <is>
          <t>Google Maps (รายวัน)</t>
        </is>
      </c>
      <c r="AE140" s="61" t="inlineStr">
        <is>
          <t>ทุกวัน 17:00-24:00 (เสาร์)</t>
        </is>
      </c>
      <c r="AF140" s="61" t="inlineStr">
        <is>
          <t>ประมาณการจากประเภทร้าน/ทำเล (ยังไม่ยืนยัน)</t>
        </is>
      </c>
      <c r="AG140" s="63" t="n"/>
      <c r="AH140" s="61" t="inlineStr">
        <is>
          <t>173/3 ซ.สุขุมวิท 16 คลองเตย</t>
        </is>
      </c>
      <c r="AI140" s="61" t="inlineStr">
        <is>
          <t>+66 84 264 9291</t>
        </is>
      </c>
      <c r="AJ140" s="61" t="inlineStr">
        <is>
          <t>ChIJIUHmOe2f4jAR2l7P6OOm4hg</t>
        </is>
      </c>
      <c r="AK140" s="64" t="inlineStr">
        <is>
          <t>เปิดแผนที่ ↗</t>
        </is>
      </c>
    </row>
    <row r="141" ht="20" customHeight="1">
      <c r="A141" s="50" t="inlineStr">
        <is>
          <t>bangkok-restaurant-vivin-suk-22</t>
        </is>
      </c>
      <c r="B141" s="51" t="inlineStr">
        <is>
          <t>restaurant</t>
        </is>
      </c>
      <c r="C141" s="52" t="inlineStr">
        <is>
          <t>VIVIN Suk 22 - café grocery bistro</t>
        </is>
      </c>
      <c r="D141" s="53" t="inlineStr">
        <is>
          <t>สุขุมวิท</t>
        </is>
      </c>
      <c r="E141" s="54" t="n">
        <v>13.72905</v>
      </c>
      <c r="F141" s="55" t="n">
        <v>100.56521</v>
      </c>
      <c r="G141" s="56" t="inlineStr">
        <is>
          <t>cafe</t>
        </is>
      </c>
      <c r="H141" s="51" t="n">
        <v>3</v>
      </c>
      <c r="I141" s="57" t="n">
        <v>4.8</v>
      </c>
      <c r="J141" s="58" t="inlineStr">
        <is>
          <t>08:00-22:00</t>
        </is>
      </c>
      <c r="K141" s="51" t="inlineStr">
        <is>
          <t>08:00-22:00</t>
        </is>
      </c>
      <c r="L141" s="51" t="inlineStr">
        <is>
          <t>08:00-22:00</t>
        </is>
      </c>
      <c r="M141" s="51" t="inlineStr">
        <is>
          <t>08:00-22:00</t>
        </is>
      </c>
      <c r="N141" s="51" t="inlineStr">
        <is>
          <t>08:00-22:00</t>
        </is>
      </c>
      <c r="O141" s="51" t="inlineStr">
        <is>
          <t>08:00-22:00</t>
        </is>
      </c>
      <c r="P141" s="51" t="inlineStr">
        <is>
          <t>08:00-22:00</t>
        </is>
      </c>
      <c r="Q141" s="58" t="n">
        <v>60</v>
      </c>
      <c r="R141" s="59" t="n">
        <v>0</v>
      </c>
      <c r="S141" s="53" t="inlineStr">
        <is>
          <t>คาเฟ่ ร้านของชำ และบิสโทรวัตถุดิบออร์แกนิก ซอยสุขุมวิท 22</t>
        </is>
      </c>
      <c r="T141" s="51" t="n"/>
      <c r="U141" s="58" t="inlineStr">
        <is>
          <t>Y</t>
        </is>
      </c>
      <c r="V141" s="53" t="n"/>
      <c r="W141" s="53" t="n"/>
      <c r="X141" s="60" t="inlineStr">
        <is>
          <t>ร้านอาหาร</t>
        </is>
      </c>
      <c r="Y141" s="61" t="inlineStr">
        <is>
          <t>สวนเบญจกิติ</t>
        </is>
      </c>
      <c r="Z141" s="62" t="n">
        <v>0.7</v>
      </c>
      <c r="AA141" s="61" t="inlineStr">
        <is>
          <t>VIVIN Suk 22 - café grocery bistro - Local Organic Natural Artisan</t>
        </is>
      </c>
      <c r="AB141" s="63" t="n">
        <v>221</v>
      </c>
      <c r="AC141" s="61" t="inlineStr">
        <is>
          <t>ร้านอาหาร</t>
        </is>
      </c>
      <c r="AD141" s="61" t="inlineStr">
        <is>
          <t>Google Maps (รายวัน)</t>
        </is>
      </c>
      <c r="AE141" s="61" t="inlineStr">
        <is>
          <t>ทุกวัน 08:00-22:00 (เสาร์)</t>
        </is>
      </c>
      <c r="AF141" s="61" t="inlineStr">
        <is>
          <t>ประมาณการจากประเภทร้าน/ทำเล (ยังไม่ยืนยัน)</t>
        </is>
      </c>
      <c r="AG141" s="63" t="n"/>
      <c r="AH141" s="61" t="inlineStr">
        <is>
          <t>267/5 ซ.สุขุมวิท 22 คลองตัน คลองเตย</t>
        </is>
      </c>
      <c r="AI141" s="61" t="inlineStr">
        <is>
          <t>+66 85 853 0317</t>
        </is>
      </c>
      <c r="AJ141" s="61" t="inlineStr">
        <is>
          <t>ChIJeeysUW-f4jARY3X5V-UWCpY</t>
        </is>
      </c>
      <c r="AK141" s="64" t="inlineStr">
        <is>
          <t>เปิดแผนที่ ↗</t>
        </is>
      </c>
    </row>
    <row r="142" ht="20" customHeight="1">
      <c r="A142" s="50" t="inlineStr">
        <is>
          <t>bangkok-restaurant-lazy-daisy-brunch-bar</t>
        </is>
      </c>
      <c r="B142" s="51" t="inlineStr">
        <is>
          <t>restaurant</t>
        </is>
      </c>
      <c r="C142" s="52" t="inlineStr">
        <is>
          <t>Lazy Daisy Brunch and Bar</t>
        </is>
      </c>
      <c r="D142" s="53" t="inlineStr">
        <is>
          <t>สุขุมวิท</t>
        </is>
      </c>
      <c r="E142" s="54" t="n">
        <v>13.72912</v>
      </c>
      <c r="F142" s="55" t="n">
        <v>100.56141</v>
      </c>
      <c r="G142" s="56" t="inlineStr">
        <is>
          <t>cafe,nightlife</t>
        </is>
      </c>
      <c r="H142" s="51" t="n">
        <v>2</v>
      </c>
      <c r="I142" s="57" t="n">
        <v>4.8</v>
      </c>
      <c r="J142" s="58" t="inlineStr">
        <is>
          <t>06:00-24:00</t>
        </is>
      </c>
      <c r="K142" s="51" t="inlineStr">
        <is>
          <t>06:00-24:00</t>
        </is>
      </c>
      <c r="L142" s="51" t="inlineStr">
        <is>
          <t>06:00-24:00</t>
        </is>
      </c>
      <c r="M142" s="51" t="inlineStr">
        <is>
          <t>06:00-24:00</t>
        </is>
      </c>
      <c r="N142" s="51" t="inlineStr">
        <is>
          <t>06:00-24:00</t>
        </is>
      </c>
      <c r="O142" s="51" t="inlineStr">
        <is>
          <t>06:00-24:00</t>
        </is>
      </c>
      <c r="P142" s="51" t="inlineStr">
        <is>
          <t>06:00-24:00</t>
        </is>
      </c>
      <c r="Q142" s="58" t="n">
        <v>60</v>
      </c>
      <c r="R142" s="59" t="n">
        <v>0</v>
      </c>
      <c r="S142" s="53" t="inlineStr">
        <is>
          <t>ร้านบรันช์และบาร์ ซอยสุขุมวิท 16</t>
        </is>
      </c>
      <c r="T142" s="51" t="n"/>
      <c r="U142" s="58" t="inlineStr">
        <is>
          <t>Y</t>
        </is>
      </c>
      <c r="V142" s="53" t="n"/>
      <c r="W142" s="53" t="n"/>
      <c r="X142" s="60" t="inlineStr">
        <is>
          <t>ร้านเครื่องดื่ม</t>
        </is>
      </c>
      <c r="Y142" s="61" t="inlineStr">
        <is>
          <t>สวนเบญจกิติ</t>
        </is>
      </c>
      <c r="Z142" s="62" t="n">
        <v>0.29</v>
      </c>
      <c r="AA142" s="61" t="inlineStr">
        <is>
          <t>Lazy Daisy Brunch and Bar</t>
        </is>
      </c>
      <c r="AB142" s="63" t="n">
        <v>1170</v>
      </c>
      <c r="AC142" s="61" t="inlineStr">
        <is>
          <t>ภัตตาคารอาหารเช้าและกลางวัน, บาร์, ร้านกาแฟ</t>
        </is>
      </c>
      <c r="AD142" s="61" t="inlineStr">
        <is>
          <t>Google Maps (รายวัน)</t>
        </is>
      </c>
      <c r="AE142" s="61" t="inlineStr">
        <is>
          <t>ทุกวัน 06:00-24:00 (เสาร์)</t>
        </is>
      </c>
      <c r="AF142" s="61" t="inlineStr">
        <is>
          <t>ประมาณการจากประเภทร้าน/ทำเล (ยังไม่ยืนยัน)</t>
        </is>
      </c>
      <c r="AG142" s="63" t="n"/>
      <c r="AH142" s="61" t="inlineStr">
        <is>
          <t>51 ซ.สุขุมวิท 16 คลองเตย</t>
        </is>
      </c>
      <c r="AI142" s="61" t="inlineStr">
        <is>
          <t>+66 94 466 4254</t>
        </is>
      </c>
      <c r="AJ142" s="61" t="inlineStr">
        <is>
          <t>ChIJoxNMYVef4jARlJwkRLW0B5c</t>
        </is>
      </c>
      <c r="AK142" s="64" t="inlineStr">
        <is>
          <t>เปิดแผนที่ ↗</t>
        </is>
      </c>
    </row>
    <row r="143" ht="20" customHeight="1">
      <c r="A143" s="50" t="inlineStr">
        <is>
          <t>bangkok-restaurant-bru-cafe-sukhumvit-20</t>
        </is>
      </c>
      <c r="B143" s="51" t="inlineStr">
        <is>
          <t>restaurant</t>
        </is>
      </c>
      <c r="C143" s="52" t="inlineStr">
        <is>
          <t>Bru Cafe</t>
        </is>
      </c>
      <c r="D143" s="53" t="inlineStr">
        <is>
          <t>สุขุมวิท</t>
        </is>
      </c>
      <c r="E143" s="54" t="n">
        <v>13.7291</v>
      </c>
      <c r="F143" s="55" t="n">
        <v>100.56407</v>
      </c>
      <c r="G143" s="56" t="inlineStr">
        <is>
          <t>cafe</t>
        </is>
      </c>
      <c r="H143" s="51" t="n">
        <v>2</v>
      </c>
      <c r="I143" s="57" t="n">
        <v>4.7</v>
      </c>
      <c r="J143" s="58" t="inlineStr">
        <is>
          <t>07:00-19:00</t>
        </is>
      </c>
      <c r="K143" s="51" t="inlineStr">
        <is>
          <t>07:00-17:00</t>
        </is>
      </c>
      <c r="L143" s="51" t="inlineStr">
        <is>
          <t>07:00-19:00</t>
        </is>
      </c>
      <c r="M143" s="51" t="inlineStr">
        <is>
          <t>07:00-19:00</t>
        </is>
      </c>
      <c r="N143" s="51" t="inlineStr">
        <is>
          <t>07:00-19:00</t>
        </is>
      </c>
      <c r="O143" s="51" t="inlineStr">
        <is>
          <t>07:00-19:00</t>
        </is>
      </c>
      <c r="P143" s="51" t="inlineStr">
        <is>
          <t>07:00-19:00</t>
        </is>
      </c>
      <c r="Q143" s="58" t="n">
        <v>30</v>
      </c>
      <c r="R143" s="59" t="n">
        <v>0</v>
      </c>
      <c r="S143" s="53" t="inlineStr">
        <is>
          <t>ร้านกาแฟ ซอยสุขุมวิท 20</t>
        </is>
      </c>
      <c r="T143" s="51" t="n"/>
      <c r="U143" s="58" t="inlineStr">
        <is>
          <t>N</t>
        </is>
      </c>
      <c r="V143" s="53" t="n"/>
      <c r="W143" s="53" t="inlineStr">
        <is>
          <t>เวลาจริงไม่ใช่ "ทุกวัน" ตามตารางเดิม (เดิมเช็กแค่วันเสาร์)</t>
        </is>
      </c>
      <c r="X143" s="60" t="inlineStr">
        <is>
          <t>ร้านเครื่องดื่ม</t>
        </is>
      </c>
      <c r="Y143" s="61" t="inlineStr">
        <is>
          <t>สวนเบญจกิติ</t>
        </is>
      </c>
      <c r="Z143" s="62" t="n">
        <v>0.58</v>
      </c>
      <c r="AA143" s="61" t="inlineStr">
        <is>
          <t>Bru Cafe</t>
        </is>
      </c>
      <c r="AB143" s="63" t="n">
        <v>878</v>
      </c>
      <c r="AC143" s="61" t="inlineStr">
        <is>
          <t>ร้านกาแฟ</t>
        </is>
      </c>
      <c r="AD143" s="61" t="inlineStr">
        <is>
          <t>Google Maps (รายวัน)</t>
        </is>
      </c>
      <c r="AE143" s="61" t="inlineStr">
        <is>
          <t>ทุกวัน 07:00-19:00 (เสาร์)</t>
        </is>
      </c>
      <c r="AF143" s="61" t="inlineStr">
        <is>
          <t>ประมาณการจากประเภทร้าน/ทำเล (ยังไม่ยืนยัน)</t>
        </is>
      </c>
      <c r="AG143" s="63" t="n"/>
      <c r="AH143" s="61" t="inlineStr">
        <is>
          <t>47 ซ.สุขุมวิท 20 คลองเตย</t>
        </is>
      </c>
      <c r="AI143" s="61" t="inlineStr">
        <is>
          <t>+66 85 832 2316</t>
        </is>
      </c>
      <c r="AJ143" s="61" t="inlineStr">
        <is>
          <t>ChIJ-9u6LsSf4jARbeQtKXGDs0A</t>
        </is>
      </c>
      <c r="AK143" s="64" t="inlineStr">
        <is>
          <t>เปิดแผนที่ ↗</t>
        </is>
      </c>
    </row>
    <row r="144" ht="20" customHeight="1">
      <c r="A144" s="50" t="inlineStr">
        <is>
          <t>bangkok-restaurant-greydient-and-them</t>
        </is>
      </c>
      <c r="B144" s="51" t="inlineStr">
        <is>
          <t>restaurant</t>
        </is>
      </c>
      <c r="C144" s="52" t="inlineStr">
        <is>
          <t>Greydient &amp; Them - coffee cafe space</t>
        </is>
      </c>
      <c r="D144" s="53" t="inlineStr">
        <is>
          <t>สุขุมวิท</t>
        </is>
      </c>
      <c r="E144" s="54" t="n">
        <v>13.73553</v>
      </c>
      <c r="F144" s="55" t="n">
        <v>100.56077</v>
      </c>
      <c r="G144" s="56" t="inlineStr">
        <is>
          <t>cafe</t>
        </is>
      </c>
      <c r="H144" s="51" t="n">
        <v>2</v>
      </c>
      <c r="I144" s="57" t="n">
        <v>4.9</v>
      </c>
      <c r="J144" s="58" t="inlineStr">
        <is>
          <t>08:00-17:00</t>
        </is>
      </c>
      <c r="K144" s="51" t="inlineStr">
        <is>
          <t>08:00-17:00</t>
        </is>
      </c>
      <c r="L144" s="51" t="inlineStr">
        <is>
          <t>08:00-17:00</t>
        </is>
      </c>
      <c r="M144" s="51" t="inlineStr">
        <is>
          <t>08:00-17:00</t>
        </is>
      </c>
      <c r="N144" s="51" t="inlineStr">
        <is>
          <t>08:00-17:00</t>
        </is>
      </c>
      <c r="O144" s="51" t="inlineStr">
        <is>
          <t>08:00-17:00</t>
        </is>
      </c>
      <c r="P144" s="51" t="inlineStr">
        <is>
          <t>08:00-17:00</t>
        </is>
      </c>
      <c r="Q144" s="58" t="n">
        <v>30</v>
      </c>
      <c r="R144" s="59" t="n">
        <v>0</v>
      </c>
      <c r="S144" s="53" t="inlineStr">
        <is>
          <t>ร้านกาแฟบนถนนรัชดาภิเษก ใกล้สวนเบญจกิติ</t>
        </is>
      </c>
      <c r="T144" s="51" t="n"/>
      <c r="U144" s="58" t="inlineStr">
        <is>
          <t>N</t>
        </is>
      </c>
      <c r="V144" s="53" t="n"/>
      <c r="W144" s="53" t="n"/>
      <c r="X144" s="60" t="inlineStr">
        <is>
          <t>ร้านเครื่องดื่ม</t>
        </is>
      </c>
      <c r="Y144" s="61" t="inlineStr">
        <is>
          <t>สวนเบญจกิติ</t>
        </is>
      </c>
      <c r="Z144" s="62" t="n">
        <v>0.73</v>
      </c>
      <c r="AA144" s="61" t="inlineStr">
        <is>
          <t>Greydient &amp; Them - coffee cafe space</t>
        </is>
      </c>
      <c r="AB144" s="63" t="n">
        <v>478</v>
      </c>
      <c r="AC144" s="61" t="inlineStr">
        <is>
          <t>ร้านกาแฟ</t>
        </is>
      </c>
      <c r="AD144" s="61" t="inlineStr">
        <is>
          <t>Google Maps (รายวัน)</t>
        </is>
      </c>
      <c r="AE144" s="61" t="inlineStr">
        <is>
          <t>ทุกวัน 08:00-17:00 (เสาร์)</t>
        </is>
      </c>
      <c r="AF144" s="61" t="inlineStr">
        <is>
          <t>ประมาณการจากประเภทร้าน/ทำเล (ยังไม่ยืนยัน)</t>
        </is>
      </c>
      <c r="AG144" s="63" t="n"/>
      <c r="AH144" s="61" t="inlineStr">
        <is>
          <t>6/25 ถ.รัชดาภิเษก คลองเตย</t>
        </is>
      </c>
      <c r="AI144" s="61" t="inlineStr">
        <is>
          <t>+66 61 393 9146</t>
        </is>
      </c>
      <c r="AJ144" s="61" t="inlineStr">
        <is>
          <t>ChIJDRLVJwCf4jAR0Ot8NsNbOa8</t>
        </is>
      </c>
      <c r="AK144" s="64" t="inlineStr">
        <is>
          <t>เปิดแผนที่ ↗</t>
        </is>
      </c>
    </row>
    <row r="145" ht="20" customHeight="1">
      <c r="A145" s="50" t="inlineStr">
        <is>
          <t>bangkok-restaurant-rintaro-emsphere</t>
        </is>
      </c>
      <c r="B145" s="51" t="inlineStr">
        <is>
          <t>restaurant</t>
        </is>
      </c>
      <c r="C145" s="52" t="inlineStr">
        <is>
          <t>Rintaro (Emsphere G)</t>
        </is>
      </c>
      <c r="D145" s="53" t="inlineStr">
        <is>
          <t>สุขุมวิท</t>
        </is>
      </c>
      <c r="E145" s="54" t="n">
        <v>13.73223</v>
      </c>
      <c r="F145" s="55" t="n">
        <v>100.56629</v>
      </c>
      <c r="G145" s="56" t="inlineStr">
        <is>
          <t>cafe</t>
        </is>
      </c>
      <c r="H145" s="51" t="n">
        <v>2</v>
      </c>
      <c r="I145" s="57" t="n">
        <v>3.8</v>
      </c>
      <c r="J145" s="58" t="inlineStr">
        <is>
          <t>10:00-22:00</t>
        </is>
      </c>
      <c r="K145" s="51" t="inlineStr">
        <is>
          <t>10:00-22:00</t>
        </is>
      </c>
      <c r="L145" s="51" t="inlineStr">
        <is>
          <t>10:00-22:00</t>
        </is>
      </c>
      <c r="M145" s="51" t="inlineStr">
        <is>
          <t>10:00-22:00</t>
        </is>
      </c>
      <c r="N145" s="51" t="inlineStr">
        <is>
          <t>10:00-22:00</t>
        </is>
      </c>
      <c r="O145" s="51" t="inlineStr">
        <is>
          <t>10:00-22:00</t>
        </is>
      </c>
      <c r="P145" s="51" t="inlineStr">
        <is>
          <t>10:00-22:00</t>
        </is>
      </c>
      <c r="Q145" s="58" t="n">
        <v>20</v>
      </c>
      <c r="R145" s="59" t="n">
        <v>0</v>
      </c>
      <c r="S145" s="53" t="inlineStr">
        <is>
          <t>ร้านไอศกรีม ชั้น G เอ็มสเฟียร์</t>
        </is>
      </c>
      <c r="T145" s="51" t="n"/>
      <c r="U145" s="58" t="inlineStr">
        <is>
          <t>N</t>
        </is>
      </c>
      <c r="V145" s="53" t="n"/>
      <c r="W145" s="53" t="n"/>
      <c r="X145" s="60" t="inlineStr">
        <is>
          <t>ร้านของหวาน</t>
        </is>
      </c>
      <c r="Y145" s="61" t="inlineStr">
        <is>
          <t>สวนเบญจกิติ</t>
        </is>
      </c>
      <c r="Z145" s="62" t="n">
        <v>0.88</v>
      </c>
      <c r="AA145" s="61" t="inlineStr">
        <is>
          <t>Rintaro</t>
        </is>
      </c>
      <c r="AB145" s="63" t="n">
        <v>183</v>
      </c>
      <c r="AC145" s="61" t="inlineStr">
        <is>
          <t>ร้านไอศกรีม</t>
        </is>
      </c>
      <c r="AD145" s="61" t="inlineStr">
        <is>
          <t>Google Maps (รายวัน)</t>
        </is>
      </c>
      <c r="AE145" s="61" t="inlineStr">
        <is>
          <t>ทุกวัน 10:00-22:00 (เสาร์)</t>
        </is>
      </c>
      <c r="AF145" s="61" t="inlineStr">
        <is>
          <t>ประมาณการจากประเภทร้าน/ทำเล (ยังไม่ยืนยัน)</t>
        </is>
      </c>
      <c r="AG145" s="63" t="n"/>
      <c r="AH145" s="61" t="inlineStr">
        <is>
          <t>Emsphere ชั้น G ถ.สุขุมวิท คลองตัน คลองเตย</t>
        </is>
      </c>
      <c r="AI145" s="61" t="inlineStr">
        <is>
          <t>+66 65 929 2253</t>
        </is>
      </c>
      <c r="AJ145" s="61" t="inlineStr">
        <is>
          <t>ChIJTffLINKf4jARnwxAuG6p0lM</t>
        </is>
      </c>
      <c r="AK145" s="64" t="inlineStr">
        <is>
          <t>เปิดแผนที่ ↗</t>
        </is>
      </c>
    </row>
    <row r="146" ht="20" customHeight="1">
      <c r="A146" s="50" t="inlineStr">
        <is>
          <t>bangkok-restaurant-mueng-krung-coconut-icecream-terminal-21</t>
        </is>
      </c>
      <c r="B146" s="51" t="inlineStr">
        <is>
          <t>restaurant</t>
        </is>
      </c>
      <c r="C146" s="52" t="inlineStr">
        <is>
          <t>ไอติมกะทิ เมืองกรุง Mueng Krung Coconut Icecream (Terminal 21)</t>
        </is>
      </c>
      <c r="D146" s="53" t="inlineStr">
        <is>
          <t>สุขุมวิท</t>
        </is>
      </c>
      <c r="E146" s="54" t="n">
        <v>13.73824</v>
      </c>
      <c r="F146" s="55" t="n">
        <v>100.56071</v>
      </c>
      <c r="G146" s="56" t="inlineStr">
        <is>
          <t>localFood</t>
        </is>
      </c>
      <c r="H146" s="51" t="n">
        <v>1</v>
      </c>
      <c r="I146" s="57" t="n">
        <v>4</v>
      </c>
      <c r="J146" s="58" t="inlineStr">
        <is>
          <t>10:00-22:00</t>
        </is>
      </c>
      <c r="K146" s="51" t="inlineStr">
        <is>
          <t>10:00-22:00</t>
        </is>
      </c>
      <c r="L146" s="51" t="inlineStr">
        <is>
          <t>10:00-22:00</t>
        </is>
      </c>
      <c r="M146" s="51" t="inlineStr">
        <is>
          <t>10:00-22:00</t>
        </is>
      </c>
      <c r="N146" s="51" t="inlineStr">
        <is>
          <t>10:00-22:00</t>
        </is>
      </c>
      <c r="O146" s="51" t="inlineStr">
        <is>
          <t>10:00-22:00</t>
        </is>
      </c>
      <c r="P146" s="51" t="inlineStr">
        <is>
          <t>10:00-22:00</t>
        </is>
      </c>
      <c r="Q146" s="58" t="n">
        <v>20</v>
      </c>
      <c r="R146" s="59" t="n">
        <v>0</v>
      </c>
      <c r="S146" s="53" t="inlineStr">
        <is>
          <t>ไอศกรีมกะทิสด ชั้น 5 Pier 21 เทอร์มินอล 21 อโศก</t>
        </is>
      </c>
      <c r="T146" s="51" t="n"/>
      <c r="U146" s="58" t="inlineStr">
        <is>
          <t>N</t>
        </is>
      </c>
      <c r="V146" s="53" t="n"/>
      <c r="W146" s="53" t="n"/>
      <c r="X146" s="60" t="inlineStr">
        <is>
          <t>ร้านของหวาน</t>
        </is>
      </c>
      <c r="Y146" s="61" t="inlineStr">
        <is>
          <t>สวนเบญจกิติ</t>
        </is>
      </c>
      <c r="Z146" s="62" t="n">
        <v>1.02</v>
      </c>
      <c r="AA146" s="61" t="inlineStr">
        <is>
          <t>ไอติมกะทิ เมืองกรุง Mueng Krung Coconut Icecream</t>
        </is>
      </c>
      <c r="AB146" s="63" t="n">
        <v>26</v>
      </c>
      <c r="AC146" s="61" t="inlineStr">
        <is>
          <t>ร้านไอศกรีม</t>
        </is>
      </c>
      <c r="AD146" s="61" t="inlineStr">
        <is>
          <t>Google Maps (รายวัน)</t>
        </is>
      </c>
      <c r="AE146" s="61" t="inlineStr">
        <is>
          <t>ทุกวัน 10:00-22:00 (เสาร์)</t>
        </is>
      </c>
      <c r="AF146" s="61" t="inlineStr">
        <is>
          <t>ประมาณการจากประเภทร้าน/ทำเล (ยังไม่ยืนยัน)</t>
        </is>
      </c>
      <c r="AG146" s="63" t="n"/>
      <c r="AH146" s="61" t="inlineStr">
        <is>
          <t>Terminal 21 อโศก ชั้น 5 Pier 21 สุขุมวิท 19</t>
        </is>
      </c>
      <c r="AI146" s="61" t="inlineStr">
        <is>
          <t>+66 98 814 9424</t>
        </is>
      </c>
      <c r="AJ146" s="61" t="inlineStr">
        <is>
          <t>ChIJv3VwJXSf4jARP81DD3Ian_8</t>
        </is>
      </c>
      <c r="AK146" s="64" t="inlineStr">
        <is>
          <t>เปิดแผนที่ ↗</t>
        </is>
      </c>
    </row>
    <row r="147" ht="20" customHeight="1">
      <c r="A147" s="50" t="inlineStr">
        <is>
          <t>bangkok-restaurant-gelato-and-co-sukhumvit-39</t>
        </is>
      </c>
      <c r="B147" s="51" t="inlineStr">
        <is>
          <t>restaurant</t>
        </is>
      </c>
      <c r="C147" s="52" t="inlineStr">
        <is>
          <t>Gelato &amp; Co Autentica Ricetta Italiana</t>
        </is>
      </c>
      <c r="D147" s="53" t="inlineStr">
        <is>
          <t>สุขุมวิท</t>
        </is>
      </c>
      <c r="E147" s="54" t="n">
        <v>13.73678</v>
      </c>
      <c r="F147" s="55" t="n">
        <v>100.57156</v>
      </c>
      <c r="G147" s="56" t="inlineStr">
        <is>
          <t>cafe</t>
        </is>
      </c>
      <c r="H147" s="51" t="n">
        <v>2</v>
      </c>
      <c r="I147" s="57" t="n">
        <v>4.5</v>
      </c>
      <c r="J147" s="58" t="inlineStr">
        <is>
          <t>12:00-22:30</t>
        </is>
      </c>
      <c r="K147" s="51" t="inlineStr">
        <is>
          <t>12:00-22:30</t>
        </is>
      </c>
      <c r="L147" s="51" t="inlineStr">
        <is>
          <t>12:00-22:30</t>
        </is>
      </c>
      <c r="M147" s="51" t="inlineStr">
        <is>
          <t>12:00-22:30</t>
        </is>
      </c>
      <c r="N147" s="51" t="inlineStr">
        <is>
          <t>12:00-23:00</t>
        </is>
      </c>
      <c r="O147" s="51" t="inlineStr">
        <is>
          <t>12:00-23:00</t>
        </is>
      </c>
      <c r="P147" s="51" t="inlineStr">
        <is>
          <t>12:00-23:00</t>
        </is>
      </c>
      <c r="Q147" s="58" t="n">
        <v>20</v>
      </c>
      <c r="R147" s="59" t="n">
        <v>0</v>
      </c>
      <c r="S147" s="53" t="inlineStr">
        <is>
          <t>ร้านเจลาโต้สูตรอิตาเลียน ซอยสุขุมวิท 39</t>
        </is>
      </c>
      <c r="T147" s="51" t="n"/>
      <c r="U147" s="58" t="inlineStr">
        <is>
          <t>N</t>
        </is>
      </c>
      <c r="V147" s="53" t="n"/>
      <c r="W147" s="53" t="inlineStr">
        <is>
          <t>เวลาจริงไม่ใช่ "ทุกวัน" ตามตารางเดิม (เดิมเช็กแค่วันเสาร์)</t>
        </is>
      </c>
      <c r="X147" s="60" t="inlineStr">
        <is>
          <t>ร้านของหวาน</t>
        </is>
      </c>
      <c r="Y147" s="61" t="inlineStr">
        <is>
          <t>สวนเบญจกิติ</t>
        </is>
      </c>
      <c r="Z147" s="62" t="n">
        <v>1.62</v>
      </c>
      <c r="AA147" s="61" t="inlineStr">
        <is>
          <t>Gelato &amp; Co Autentica Ricetta Italiana</t>
        </is>
      </c>
      <c r="AB147" s="63" t="n">
        <v>345</v>
      </c>
      <c r="AC147" s="61" t="inlineStr">
        <is>
          <t>ร้านไอศกรีม</t>
        </is>
      </c>
      <c r="AD147" s="61" t="inlineStr">
        <is>
          <t>Google Maps (รายวัน)</t>
        </is>
      </c>
      <c r="AE147" s="61" t="inlineStr">
        <is>
          <t>ทุกวัน 12:00-23:00 (เสาร์)</t>
        </is>
      </c>
      <c r="AF147" s="61" t="inlineStr">
        <is>
          <t>ประมาณการจากประเภทร้าน/ทำเล (ยังไม่ยืนยัน)</t>
        </is>
      </c>
      <c r="AG147" s="63" t="n"/>
      <c r="AH147" s="61" t="inlineStr">
        <is>
          <t>53 ซ.สุขุมวิท 39 คลองตันเหนือ วัฒนา</t>
        </is>
      </c>
      <c r="AI147" s="61" t="inlineStr">
        <is>
          <t>+66 63 901 1149</t>
        </is>
      </c>
      <c r="AJ147" s="61" t="inlineStr">
        <is>
          <t>ChIJMZRb-NOf4jARXrQz_rKnSow</t>
        </is>
      </c>
      <c r="AK147" s="64" t="inlineStr">
        <is>
          <t>เปิดแผนที่ ↗</t>
        </is>
      </c>
    </row>
    <row r="148" ht="20" customHeight="1">
      <c r="A148" s="50" t="inlineStr">
        <is>
          <t>bangkok-restaurant-onewin-crab-noodles</t>
        </is>
      </c>
      <c r="B148" s="51" t="inlineStr">
        <is>
          <t>restaurant</t>
        </is>
      </c>
      <c r="C148" s="52" t="inlineStr">
        <is>
          <t>วันวิน บะหมี่ปู ONEWIN CRAB NOODLES</t>
        </is>
      </c>
      <c r="D148" s="53" t="inlineStr">
        <is>
          <t>จตุจักร</t>
        </is>
      </c>
      <c r="E148" s="54" t="n">
        <v>13.8005</v>
      </c>
      <c r="F148" s="55" t="n">
        <v>100.55179</v>
      </c>
      <c r="G148" s="56" t="inlineStr">
        <is>
          <t>localFood,seafood</t>
        </is>
      </c>
      <c r="H148" s="51" t="n">
        <v>1</v>
      </c>
      <c r="I148" s="57" t="n">
        <v>4.6</v>
      </c>
      <c r="J148" s="58" t="n"/>
      <c r="K148" s="51" t="inlineStr">
        <is>
          <t>10:00-17:00</t>
        </is>
      </c>
      <c r="L148" s="51" t="inlineStr">
        <is>
          <t>09:00-17:00</t>
        </is>
      </c>
      <c r="M148" s="51" t="inlineStr">
        <is>
          <t>10:00-17:00</t>
        </is>
      </c>
      <c r="N148" s="51" t="inlineStr">
        <is>
          <t>11:00-22:30</t>
        </is>
      </c>
      <c r="O148" s="51" t="inlineStr">
        <is>
          <t>08:30-22:00</t>
        </is>
      </c>
      <c r="P148" s="51" t="inlineStr">
        <is>
          <t>08:30-22:00</t>
        </is>
      </c>
      <c r="Q148" s="58" t="n">
        <v>30</v>
      </c>
      <c r="R148" s="59" t="n">
        <v>0</v>
      </c>
      <c r="S148" s="53" t="inlineStr">
        <is>
          <t>ร้านบะหมี่ปูในตลาดนัดจตุจักร</t>
        </is>
      </c>
      <c r="T148" s="51" t="n"/>
      <c r="U148" s="58" t="inlineStr">
        <is>
          <t>Y</t>
        </is>
      </c>
      <c r="V148" s="53" t="n"/>
      <c r="W148" s="53" t="n"/>
      <c r="X148" s="60" t="inlineStr">
        <is>
          <t>ร้านอาหาร</t>
        </is>
      </c>
      <c r="Y148" s="61" t="inlineStr">
        <is>
          <t>ตลาดจตุจักร</t>
        </is>
      </c>
      <c r="Z148" s="62" t="n">
        <v>0.17</v>
      </c>
      <c r="AA148" s="61" t="inlineStr">
        <is>
          <t>วันวิน บะหมี่ปู ONEWIN CRAB NOODLES</t>
        </is>
      </c>
      <c r="AB148" s="63" t="n">
        <v>319</v>
      </c>
      <c r="AC148" s="61" t="inlineStr">
        <is>
          <t>ร้านอาหาร</t>
        </is>
      </c>
      <c r="AD148" s="61" t="inlineStr">
        <is>
          <t>Google Maps (รายวัน)</t>
        </is>
      </c>
      <c r="AE148" s="61" t="inlineStr">
        <is>
          <t>อ-อา 08:30-22:00 (ปิดจันทร์)</t>
        </is>
      </c>
      <c r="AF148" s="61" t="inlineStr">
        <is>
          <t>ประมาณการจากประเภทร้าน/ทำเล (ยังไม่ยืนยัน)</t>
        </is>
      </c>
      <c r="AG148" s="63" t="n"/>
      <c r="AH148" s="61" t="inlineStr">
        <is>
          <t>ตลาดนัดจตุจักร จตุจักร</t>
        </is>
      </c>
      <c r="AI148" s="61" t="inlineStr">
        <is>
          <t>+66 98 264 5686</t>
        </is>
      </c>
      <c r="AJ148" s="61" t="inlineStr">
        <is>
          <t>ChIJc_7gsZWd4jARFn4gx5gOp-0</t>
        </is>
      </c>
      <c r="AK148" s="64" t="inlineStr">
        <is>
          <t>เปิดแผนที่ ↗</t>
        </is>
      </c>
    </row>
    <row r="149" ht="20" customHeight="1">
      <c r="A149" s="50" t="inlineStr">
        <is>
          <t>bangkok-restaurant-kuay-teow-moo-sanan</t>
        </is>
      </c>
      <c r="B149" s="51" t="inlineStr">
        <is>
          <t>restaurant</t>
        </is>
      </c>
      <c r="C149" s="52" t="inlineStr">
        <is>
          <t>ก๋วยเตี๋ยวหมูสนั่น (สูตรผู้พันเป้ง) หลังตลาด อ.ต.ก.</t>
        </is>
      </c>
      <c r="D149" s="53" t="inlineStr">
        <is>
          <t>จตุจักร</t>
        </is>
      </c>
      <c r="E149" s="54" t="n">
        <v>13.79669</v>
      </c>
      <c r="F149" s="55" t="n">
        <v>100.54991</v>
      </c>
      <c r="G149" s="56" t="inlineStr">
        <is>
          <t>localFood</t>
        </is>
      </c>
      <c r="H149" s="51" t="n">
        <v>1</v>
      </c>
      <c r="I149" s="57" t="n">
        <v>4.8</v>
      </c>
      <c r="J149" s="58" t="inlineStr">
        <is>
          <t>08:30-17:00</t>
        </is>
      </c>
      <c r="K149" s="51" t="inlineStr">
        <is>
          <t>08:30-17:00</t>
        </is>
      </c>
      <c r="L149" s="51" t="n"/>
      <c r="M149" s="51" t="inlineStr">
        <is>
          <t>08:30-17:00</t>
        </is>
      </c>
      <c r="N149" s="51" t="inlineStr">
        <is>
          <t>08:30-17:00</t>
        </is>
      </c>
      <c r="O149" s="51" t="inlineStr">
        <is>
          <t>08:30-17:00</t>
        </is>
      </c>
      <c r="P149" s="51" t="inlineStr">
        <is>
          <t>08:30-17:00</t>
        </is>
      </c>
      <c r="Q149" s="58" t="n">
        <v>30</v>
      </c>
      <c r="R149" s="59" t="n">
        <v>0</v>
      </c>
      <c r="S149" s="53" t="inlineStr">
        <is>
          <t>ร้านก๋วยเตี๋ยวหมูหลังตลาด อ.ต.ก. ใกล้ตลาดนัดจตุจักร</t>
        </is>
      </c>
      <c r="T149" s="51" t="n"/>
      <c r="U149" s="58" t="inlineStr">
        <is>
          <t>Y</t>
        </is>
      </c>
      <c r="V149" s="53" t="n"/>
      <c r="W149" s="53" t="n"/>
      <c r="X149" s="60" t="inlineStr">
        <is>
          <t>ร้านอาหาร</t>
        </is>
      </c>
      <c r="Y149" s="61" t="inlineStr">
        <is>
          <t>ตลาดจตุจักร</t>
        </is>
      </c>
      <c r="Z149" s="62" t="n">
        <v>0.35</v>
      </c>
      <c r="AA149" s="61" t="inlineStr">
        <is>
          <t>ก๋วยเตี๋ยวหมูสนั่น (สูตรผู้พันเป้ง) - หลังตลาด อ.ต.ก. (ติดประตู 4)</t>
        </is>
      </c>
      <c r="AB149" s="63" t="n">
        <v>660</v>
      </c>
      <c r="AC149" s="61" t="inlineStr">
        <is>
          <t>ร้านอาหาร, ร้านก๋วยเตี๋ยว</t>
        </is>
      </c>
      <c r="AD149" s="61" t="inlineStr">
        <is>
          <t>Google Maps (รายวัน)</t>
        </is>
      </c>
      <c r="AE149" s="61" t="inlineStr">
        <is>
          <t>ทุกวัน 08:30-17:00 (ปิดพุธ)</t>
        </is>
      </c>
      <c r="AF149" s="61" t="inlineStr">
        <is>
          <t>ประมาณการจากประเภทร้าน/ทำเล (ยังไม่ยืนยัน)</t>
        </is>
      </c>
      <c r="AG149" s="63" t="n"/>
      <c r="AH149" s="61" t="inlineStr">
        <is>
          <t>หลังตลาด อ.ต.ก. ติดประตู 4 101 ถ.กำแพงเพชร</t>
        </is>
      </c>
      <c r="AI149" s="61" t="inlineStr">
        <is>
          <t>+66 95 705 9542</t>
        </is>
      </c>
      <c r="AJ149" s="61" t="inlineStr">
        <is>
          <t>ChIJyZeU6ZCd4jAR-dFDYsfWLxY</t>
        </is>
      </c>
      <c r="AK149" s="64" t="inlineStr">
        <is>
          <t>เปิดแผนที่ ↗</t>
        </is>
      </c>
    </row>
    <row r="150" ht="20" customHeight="1">
      <c r="A150" s="50" t="inlineStr">
        <is>
          <t>bangkok-restaurant-larder-chatuchak</t>
        </is>
      </c>
      <c r="B150" s="51" t="inlineStr">
        <is>
          <t>restaurant</t>
        </is>
      </c>
      <c r="C150" s="52" t="inlineStr">
        <is>
          <t>LARDER Chatuchak</t>
        </is>
      </c>
      <c r="D150" s="53" t="inlineStr">
        <is>
          <t>จตุจักร</t>
        </is>
      </c>
      <c r="E150" s="54" t="n">
        <v>13.79845</v>
      </c>
      <c r="F150" s="55" t="n">
        <v>100.54685</v>
      </c>
      <c r="G150" s="56" t="inlineStr">
        <is>
          <t>cafe</t>
        </is>
      </c>
      <c r="H150" s="51" t="n">
        <v>3</v>
      </c>
      <c r="I150" s="57" t="n">
        <v>4.1</v>
      </c>
      <c r="J150" s="58" t="inlineStr">
        <is>
          <t>07:00-17:00</t>
        </is>
      </c>
      <c r="K150" s="51" t="inlineStr">
        <is>
          <t>07:00-17:00</t>
        </is>
      </c>
      <c r="L150" s="51" t="inlineStr">
        <is>
          <t>07:00-23:00</t>
        </is>
      </c>
      <c r="M150" s="51" t="inlineStr">
        <is>
          <t>07:00-23:00</t>
        </is>
      </c>
      <c r="N150" s="51" t="inlineStr">
        <is>
          <t>07:00-23:00</t>
        </is>
      </c>
      <c r="O150" s="51" t="inlineStr">
        <is>
          <t>07:00-23:00</t>
        </is>
      </c>
      <c r="P150" s="51" t="inlineStr">
        <is>
          <t>07:00-23:00</t>
        </is>
      </c>
      <c r="Q150" s="58" t="n">
        <v>60</v>
      </c>
      <c r="R150" s="59" t="n">
        <v>0</v>
      </c>
      <c r="S150" s="53" t="inlineStr">
        <is>
          <t>ร้านอาหารยุโรป เบเกอรี่และชาร์กูเตอรี ถนนกำแพงเพชร</t>
        </is>
      </c>
      <c r="T150" s="51" t="n"/>
      <c r="U150" s="58" t="inlineStr">
        <is>
          <t>Y</t>
        </is>
      </c>
      <c r="V150" s="53" t="n"/>
      <c r="W150" s="53" t="inlineStr">
        <is>
          <t>เปิด 2 ช่วง (sun 7:00–17:00 / 18:00–23:00; wed 7:00–17:00 / 18:00–23:00; thu 7:00–17:00 / 18:00–23:00; fri 7:00–17:00 / 18:00–23:00; sat 7:00–17:00 / 18:00–23:00) ระบบรองรับช่วงเดียว จึงใส่ช่วงรวม</t>
        </is>
      </c>
      <c r="X150" s="60" t="inlineStr">
        <is>
          <t>ร้านอาหาร</t>
        </is>
      </c>
      <c r="Y150" s="61" t="inlineStr">
        <is>
          <t>ตลาดจตุจักร</t>
        </is>
      </c>
      <c r="Z150" s="62" t="n">
        <v>0.41</v>
      </c>
      <c r="AA150" s="61" t="inlineStr">
        <is>
          <t>LARDER Chatuchak</t>
        </is>
      </c>
      <c r="AB150" s="63" t="n">
        <v>350</v>
      </c>
      <c r="AC150" s="61" t="inlineStr">
        <is>
          <t>ร้านอาหาร, ร้านเบเกอรี่, ภัตตาคารอาหารเช้า, ภัตตาคารอาหารเช้าและกลางวัน, ร้านกาแฟ, ชาร์กูว์ทรี, ภัตตาคารอาหารยุโรป, ร้านแฮม, ร้านอาหารกลางวัน, ร้านไวน์</t>
        </is>
      </c>
      <c r="AD150" s="61" t="inlineStr">
        <is>
          <t>Google Maps (รายวัน)</t>
        </is>
      </c>
      <c r="AE150" s="61" t="inlineStr">
        <is>
          <t>ทุกวัน 07:00-17:00, 18:00-23:00</t>
        </is>
      </c>
      <c r="AF150" s="61" t="inlineStr">
        <is>
          <t>ประมาณการจากประเภทร้าน/ทำเล (ยังไม่ยืนยัน)</t>
        </is>
      </c>
      <c r="AG150" s="63" t="n"/>
      <c r="AH150" s="61" t="inlineStr">
        <is>
          <t>18 ถ.กำแพงเพชร จตุจักร</t>
        </is>
      </c>
      <c r="AI150" s="61" t="inlineStr">
        <is>
          <t>+66 82 114 6964</t>
        </is>
      </c>
      <c r="AJ150" s="61" t="inlineStr">
        <is>
          <t>ChIJPXkelled4jARSc3rqUFfrYI</t>
        </is>
      </c>
      <c r="AK150" s="64" t="inlineStr">
        <is>
          <t>เปิดแผนที่ ↗</t>
        </is>
      </c>
    </row>
    <row r="151" ht="20" customHeight="1">
      <c r="A151" s="50" t="inlineStr">
        <is>
          <t>bangkok-restaurant-dusha-cafe-chatuchak-mixt</t>
        </is>
      </c>
      <c r="B151" s="51" t="inlineStr">
        <is>
          <t>restaurant</t>
        </is>
      </c>
      <c r="C151" s="52" t="inlineStr">
        <is>
          <t>Dusha Cafe (Chatuchak Mixt)</t>
        </is>
      </c>
      <c r="D151" s="53" t="inlineStr">
        <is>
          <t>จตุจักร</t>
        </is>
      </c>
      <c r="E151" s="54" t="n">
        <v>13.80256</v>
      </c>
      <c r="F151" s="55" t="n">
        <v>100.55144</v>
      </c>
      <c r="G151" s="56" t="inlineStr">
        <is>
          <t>cafe</t>
        </is>
      </c>
      <c r="H151" s="51" t="n">
        <v>2</v>
      </c>
      <c r="I151" s="57" t="n">
        <v>4.8</v>
      </c>
      <c r="J151" s="58" t="inlineStr">
        <is>
          <t>10:00-19:30</t>
        </is>
      </c>
      <c r="K151" s="51" t="inlineStr">
        <is>
          <t>10:00-19:30</t>
        </is>
      </c>
      <c r="L151" s="51" t="inlineStr">
        <is>
          <t>10:00-19:30</t>
        </is>
      </c>
      <c r="M151" s="51" t="inlineStr">
        <is>
          <t>10:00-19:30</t>
        </is>
      </c>
      <c r="N151" s="51" t="inlineStr">
        <is>
          <t>10:00-20:30</t>
        </is>
      </c>
      <c r="O151" s="51" t="inlineStr">
        <is>
          <t>10:00-20:30</t>
        </is>
      </c>
      <c r="P151" s="51" t="inlineStr">
        <is>
          <t>10:00-20:30</t>
        </is>
      </c>
      <c r="Q151" s="58" t="n">
        <v>30</v>
      </c>
      <c r="R151" s="59" t="n">
        <v>0</v>
      </c>
      <c r="S151" s="53" t="inlineStr">
        <is>
          <t>ร้านกาแฟในห้าง Chatuchak Mixt</t>
        </is>
      </c>
      <c r="T151" s="51" t="n"/>
      <c r="U151" s="58" t="inlineStr">
        <is>
          <t>N</t>
        </is>
      </c>
      <c r="V151" s="53" t="n"/>
      <c r="W151" s="53" t="inlineStr">
        <is>
          <t>เวลาจริงไม่ใช่ "ทุกวัน" ตามตารางเดิม (เดิมเช็กแค่วันเสาร์)</t>
        </is>
      </c>
      <c r="X151" s="60" t="inlineStr">
        <is>
          <t>ร้านเครื่องดื่ม</t>
        </is>
      </c>
      <c r="Y151" s="61" t="inlineStr">
        <is>
          <t>ตลาดจตุจักร</t>
        </is>
      </c>
      <c r="Z151" s="62" t="n">
        <v>0.33</v>
      </c>
      <c r="AA151" s="61" t="inlineStr">
        <is>
          <t>Dusha Cafe (Chatuchak Mixt)</t>
        </is>
      </c>
      <c r="AB151" s="63" t="n">
        <v>56</v>
      </c>
      <c r="AC151" s="61" t="inlineStr">
        <is>
          <t>ร้านกาแฟ</t>
        </is>
      </c>
      <c r="AD151" s="61" t="inlineStr">
        <is>
          <t>Google Maps (รายวัน)</t>
        </is>
      </c>
      <c r="AE151" s="61" t="inlineStr">
        <is>
          <t>ทุกวัน 10:00-20:30 (เสาร์)</t>
        </is>
      </c>
      <c r="AF151" s="61" t="inlineStr">
        <is>
          <t>ประมาณการจากประเภทร้าน/ทำเล (ยังไม่ยืนยัน)</t>
        </is>
      </c>
      <c r="AG151" s="63" t="n"/>
      <c r="AH151" s="61" t="inlineStr">
        <is>
          <t>Chatuchak Mixt ถ.กำแพงเพชร 3 จตุจักร</t>
        </is>
      </c>
      <c r="AI151" s="61" t="inlineStr">
        <is>
          <t>+66 92 689 1370</t>
        </is>
      </c>
      <c r="AJ151" s="61" t="inlineStr">
        <is>
          <t>ChIJtUQkVjKd4jAR2b9jlAmSKdQ</t>
        </is>
      </c>
      <c r="AK151" s="64" t="inlineStr">
        <is>
          <t>เปิดแผนที่ ↗</t>
        </is>
      </c>
    </row>
    <row r="152" ht="20" customHeight="1">
      <c r="A152" s="50" t="inlineStr">
        <is>
          <t>bangkok-restaurant-cafe-mystere</t>
        </is>
      </c>
      <c r="B152" s="51" t="inlineStr">
        <is>
          <t>restaurant</t>
        </is>
      </c>
      <c r="C152" s="52" t="inlineStr">
        <is>
          <t>Café mystère คาเฟ่มิสแตร์</t>
        </is>
      </c>
      <c r="D152" s="53" t="inlineStr">
        <is>
          <t>จตุจักร</t>
        </is>
      </c>
      <c r="E152" s="54" t="n">
        <v>13.7979</v>
      </c>
      <c r="F152" s="55" t="n">
        <v>100.54746</v>
      </c>
      <c r="G152" s="56" t="inlineStr">
        <is>
          <t>cafe</t>
        </is>
      </c>
      <c r="H152" s="51" t="n">
        <v>2</v>
      </c>
      <c r="I152" s="57" t="n">
        <v>4.8</v>
      </c>
      <c r="J152" s="58" t="n"/>
      <c r="K152" s="51" t="inlineStr">
        <is>
          <t>08:30-16:00</t>
        </is>
      </c>
      <c r="L152" s="51" t="inlineStr">
        <is>
          <t>08:30-16:00</t>
        </is>
      </c>
      <c r="M152" s="51" t="inlineStr">
        <is>
          <t>08:30-16:00</t>
        </is>
      </c>
      <c r="N152" s="51" t="inlineStr">
        <is>
          <t>08:30-16:00</t>
        </is>
      </c>
      <c r="O152" s="51" t="inlineStr">
        <is>
          <t>09:00-18:00</t>
        </is>
      </c>
      <c r="P152" s="51" t="inlineStr">
        <is>
          <t>09:00-18:00</t>
        </is>
      </c>
      <c r="Q152" s="58" t="n">
        <v>30</v>
      </c>
      <c r="R152" s="59" t="n">
        <v>0</v>
      </c>
      <c r="S152" s="53" t="inlineStr">
        <is>
          <t>ร้านกาแฟ ย่านลาดยาว จตุจักร</t>
        </is>
      </c>
      <c r="T152" s="51" t="n"/>
      <c r="U152" s="58" t="inlineStr">
        <is>
          <t>N</t>
        </is>
      </c>
      <c r="V152" s="53" t="n"/>
      <c r="W152" s="53" t="n"/>
      <c r="X152" s="60" t="inlineStr">
        <is>
          <t>ร้านเครื่องดื่ม</t>
        </is>
      </c>
      <c r="Y152" s="61" t="inlineStr">
        <is>
          <t>ตลาดจตุจักร</t>
        </is>
      </c>
      <c r="Z152" s="62" t="n">
        <v>0.38</v>
      </c>
      <c r="AA152" s="61" t="inlineStr">
        <is>
          <t>Café mystère คาเฟ่มิสแตร์ (ร้านกาแฟ)</t>
        </is>
      </c>
      <c r="AB152" s="63" t="n">
        <v>106</v>
      </c>
      <c r="AC152" s="61" t="inlineStr">
        <is>
          <t>ร้านกาแฟ</t>
        </is>
      </c>
      <c r="AD152" s="61" t="inlineStr">
        <is>
          <t>Google Maps (รายวัน)</t>
        </is>
      </c>
      <c r="AE152" s="61" t="inlineStr">
        <is>
          <t>อ-อา 09:00-18:00 (ปิดจันทร์)</t>
        </is>
      </c>
      <c r="AF152" s="61" t="inlineStr">
        <is>
          <t>ประมาณการจากประเภทร้าน/ทำเล (ยังไม่ยืนยัน)</t>
        </is>
      </c>
      <c r="AG152" s="63" t="n"/>
      <c r="AH152" s="61" t="inlineStr">
        <is>
          <t>431 ลาดยาว จตุจักร</t>
        </is>
      </c>
      <c r="AI152" s="61" t="inlineStr">
        <is>
          <t>+66 81 929 6549</t>
        </is>
      </c>
      <c r="AJ152" s="61" t="inlineStr">
        <is>
          <t>ChIJxdlKHpOd4jAREYNZpzh9udo</t>
        </is>
      </c>
      <c r="AK152" s="64" t="inlineStr">
        <is>
          <t>เปิดแผนที่ ↗</t>
        </is>
      </c>
    </row>
    <row r="153" ht="20" customHeight="1">
      <c r="A153" s="50" t="inlineStr">
        <is>
          <t>bangkok-restaurant-traveller-coffee-mrt-kamphaeng-phet</t>
        </is>
      </c>
      <c r="B153" s="51" t="inlineStr">
        <is>
          <t>restaurant</t>
        </is>
      </c>
      <c r="C153" s="52" t="inlineStr">
        <is>
          <t>TRAVELLER The Coffee Shop</t>
        </is>
      </c>
      <c r="D153" s="53" t="inlineStr">
        <is>
          <t>จตุจักร</t>
        </is>
      </c>
      <c r="E153" s="54" t="n">
        <v>13.79794</v>
      </c>
      <c r="F153" s="55" t="n">
        <v>100.54792</v>
      </c>
      <c r="G153" s="56" t="inlineStr">
        <is>
          <t>cafe</t>
        </is>
      </c>
      <c r="H153" s="51" t="n">
        <v>1</v>
      </c>
      <c r="I153" s="57" t="n">
        <v>4.8</v>
      </c>
      <c r="J153" s="58" t="inlineStr">
        <is>
          <t>08:00-17:00</t>
        </is>
      </c>
      <c r="K153" s="51" t="n"/>
      <c r="L153" s="51" t="inlineStr">
        <is>
          <t>08:00-17:00</t>
        </is>
      </c>
      <c r="M153" s="51" t="inlineStr">
        <is>
          <t>08:30-17:00</t>
        </is>
      </c>
      <c r="N153" s="51" t="inlineStr">
        <is>
          <t>08:00-18:30</t>
        </is>
      </c>
      <c r="O153" s="51" t="inlineStr">
        <is>
          <t>08:00-18:30</t>
        </is>
      </c>
      <c r="P153" s="51" t="inlineStr">
        <is>
          <t>08:00-18:30</t>
        </is>
      </c>
      <c r="Q153" s="58" t="n">
        <v>20</v>
      </c>
      <c r="R153" s="59" t="n">
        <v>0</v>
      </c>
      <c r="S153" s="53" t="inlineStr">
        <is>
          <t>ร้านกาแฟที่ MRT กำแพงเพชร ทางออก 1</t>
        </is>
      </c>
      <c r="T153" s="51" t="n"/>
      <c r="U153" s="58" t="inlineStr">
        <is>
          <t>N</t>
        </is>
      </c>
      <c r="V153" s="53" t="n"/>
      <c r="W153" s="53" t="n"/>
      <c r="X153" s="60" t="inlineStr">
        <is>
          <t>ร้านเครื่องดื่ม</t>
        </is>
      </c>
      <c r="Y153" s="61" t="inlineStr">
        <is>
          <t>ตลาดจตุจักร</t>
        </is>
      </c>
      <c r="Z153" s="62" t="n">
        <v>0.34</v>
      </c>
      <c r="AA153" s="61" t="inlineStr">
        <is>
          <t>TRAVELLER The Coffee Shop</t>
        </is>
      </c>
      <c r="AB153" s="63" t="n">
        <v>132</v>
      </c>
      <c r="AC153" s="61" t="inlineStr">
        <is>
          <t>ร้านกาแฟ</t>
        </is>
      </c>
      <c r="AD153" s="61" t="inlineStr">
        <is>
          <t>Google Maps (รายวัน)</t>
        </is>
      </c>
      <c r="AE153" s="61" t="inlineStr">
        <is>
          <t>ทุกวัน 08:00-18:30 (ปิดอังคาร)</t>
        </is>
      </c>
      <c r="AF153" s="61" t="inlineStr">
        <is>
          <t>ประมาณการจากประเภทร้าน/ทำเล (ยังไม่ยืนยัน)</t>
        </is>
      </c>
      <c r="AG153" s="63" t="n"/>
      <c r="AH153" s="61" t="inlineStr">
        <is>
          <t>MRT กำแพงเพชร ประตู 1 ถ.กำแพงเพชร</t>
        </is>
      </c>
      <c r="AI153" s="61" t="n"/>
      <c r="AJ153" s="61" t="inlineStr">
        <is>
          <t>ChIJSTyov--d4jARAIj_Zg7hubk</t>
        </is>
      </c>
      <c r="AK153" s="64" t="inlineStr">
        <is>
          <t>เปิดแผนที่ ↗</t>
        </is>
      </c>
    </row>
    <row r="154" ht="20" customHeight="1">
      <c r="A154" s="50" t="inlineStr">
        <is>
          <t>bangkok-restaurant-heart-rock-coconut-ice-cream</t>
        </is>
      </c>
      <c r="B154" s="51" t="inlineStr">
        <is>
          <t>restaurant</t>
        </is>
      </c>
      <c r="C154" s="52" t="inlineStr">
        <is>
          <t>Heart Rock CoConut Ice cream</t>
        </is>
      </c>
      <c r="D154" s="53" t="inlineStr">
        <is>
          <t>จตุจักร</t>
        </is>
      </c>
      <c r="E154" s="54" t="n">
        <v>13.7984484</v>
      </c>
      <c r="F154" s="55" t="n">
        <v>100.550622</v>
      </c>
      <c r="G154" s="56" t="inlineStr">
        <is>
          <t>localFood</t>
        </is>
      </c>
      <c r="H154" s="51" t="n">
        <v>1</v>
      </c>
      <c r="I154" s="57" t="n">
        <v>5</v>
      </c>
      <c r="J154" s="58" t="n"/>
      <c r="K154" s="51" t="n"/>
      <c r="L154" s="51" t="n"/>
      <c r="M154" s="51" t="n"/>
      <c r="N154" s="51" t="inlineStr">
        <is>
          <t>15:30-23:00</t>
        </is>
      </c>
      <c r="O154" s="51" t="inlineStr">
        <is>
          <t>08:30-23:00</t>
        </is>
      </c>
      <c r="P154" s="51" t="inlineStr">
        <is>
          <t>08:30-23:00</t>
        </is>
      </c>
      <c r="Q154" s="58" t="n">
        <v>20</v>
      </c>
      <c r="R154" s="59" t="n">
        <v>0</v>
      </c>
      <c r="S154" s="53" t="inlineStr">
        <is>
          <t>ร้านไอศกรีมมะพร้าวในตลาดนัดจตุจักร</t>
        </is>
      </c>
      <c r="T154" s="51" t="n"/>
      <c r="U154" s="58" t="inlineStr">
        <is>
          <t>N</t>
        </is>
      </c>
      <c r="V154" s="53" t="n"/>
      <c r="W154" s="53" t="n"/>
      <c r="X154" s="60" t="inlineStr">
        <is>
          <t>ร้านของหวาน</t>
        </is>
      </c>
      <c r="Y154" s="61" t="inlineStr">
        <is>
          <t>ตลาดจตุจักร</t>
        </is>
      </c>
      <c r="Z154" s="62" t="n">
        <v>0.15</v>
      </c>
      <c r="AA154" s="61" t="inlineStr">
        <is>
          <t>Heart Rock CoConut Ice cream</t>
        </is>
      </c>
      <c r="AB154" s="63" t="n">
        <v>22</v>
      </c>
      <c r="AC154" s="61" t="inlineStr">
        <is>
          <t>ร้านไอศกรีม</t>
        </is>
      </c>
      <c r="AD154" s="61" t="inlineStr">
        <is>
          <t>Google Maps (รายวัน)</t>
        </is>
      </c>
      <c r="AE154" s="61" t="inlineStr">
        <is>
          <t>ศ 15:30-23:00 / ส-อา 08:30-23:00 (ปิดจันทร์-พฤหัสบดี)</t>
        </is>
      </c>
      <c r="AF154" s="61" t="inlineStr">
        <is>
          <t>ประมาณการจากประเภทร้าน/ทำเล (ยังไม่ยืนยัน)</t>
        </is>
      </c>
      <c r="AG154" s="63" t="n"/>
      <c r="AH154" s="61" t="inlineStr">
        <is>
          <t>โครงการ 21 ตลาดนัดจตุจักร</t>
        </is>
      </c>
      <c r="AI154" s="61" t="inlineStr">
        <is>
          <t>+66 61 619 5909</t>
        </is>
      </c>
      <c r="AJ154" s="61" t="inlineStr">
        <is>
          <t>ChIJo96cuPOd4jARLtWjUtP1Ec4</t>
        </is>
      </c>
      <c r="AK154" s="64" t="inlineStr">
        <is>
          <t>เปิดแผนที่ ↗</t>
        </is>
      </c>
    </row>
    <row r="155" ht="20" customHeight="1">
      <c r="A155" s="50" t="inlineStr">
        <is>
          <t>bangkok-restaurant-coconut-ice-cream-chatuchak</t>
        </is>
      </c>
      <c r="B155" s="51" t="inlineStr">
        <is>
          <t>restaurant</t>
        </is>
      </c>
      <c r="C155" s="52" t="inlineStr">
        <is>
          <t>Coconut Ice Cream Chatuchak</t>
        </is>
      </c>
      <c r="D155" s="53" t="inlineStr">
        <is>
          <t>จตุจักร</t>
        </is>
      </c>
      <c r="E155" s="54" t="n">
        <v>13.80079</v>
      </c>
      <c r="F155" s="55" t="n">
        <v>100.55186</v>
      </c>
      <c r="G155" s="56" t="inlineStr">
        <is>
          <t>localFood</t>
        </is>
      </c>
      <c r="H155" s="51" t="n">
        <v>1</v>
      </c>
      <c r="I155" s="57" t="n">
        <v>4.3</v>
      </c>
      <c r="J155" s="58" t="inlineStr">
        <is>
          <t>10:00-18:00</t>
        </is>
      </c>
      <c r="K155" s="51" t="inlineStr">
        <is>
          <t>10:00-18:00</t>
        </is>
      </c>
      <c r="L155" s="51" t="inlineStr">
        <is>
          <t>10:00-18:00</t>
        </is>
      </c>
      <c r="M155" s="51" t="inlineStr">
        <is>
          <t>10:00-18:00</t>
        </is>
      </c>
      <c r="N155" s="51" t="inlineStr">
        <is>
          <t>10:00-18:00</t>
        </is>
      </c>
      <c r="O155" s="51" t="inlineStr">
        <is>
          <t>10:00-18:00</t>
        </is>
      </c>
      <c r="P155" s="51" t="inlineStr">
        <is>
          <t>10:00-18:00</t>
        </is>
      </c>
      <c r="Q155" s="58" t="n">
        <v>20</v>
      </c>
      <c r="R155" s="59" t="n">
        <v>0</v>
      </c>
      <c r="S155" s="53" t="inlineStr">
        <is>
          <t>ร้านไอศกรีมมะพร้าวในตลาดนัดจตุจักร</t>
        </is>
      </c>
      <c r="T155" s="51" t="n"/>
      <c r="U155" s="58" t="inlineStr">
        <is>
          <t>N</t>
        </is>
      </c>
      <c r="V155" s="53" t="n"/>
      <c r="W155" s="53" t="n"/>
      <c r="X155" s="60" t="inlineStr">
        <is>
          <t>ร้านของหวาน</t>
        </is>
      </c>
      <c r="Y155" s="61" t="inlineStr">
        <is>
          <t>ตลาดจตุจักร</t>
        </is>
      </c>
      <c r="Z155" s="62" t="n">
        <v>0.19</v>
      </c>
      <c r="AA155" s="61" t="inlineStr">
        <is>
          <t>Coconut Ice Cream Chatuchak</t>
        </is>
      </c>
      <c r="AB155" s="63" t="n">
        <v>15</v>
      </c>
      <c r="AC155" s="61" t="inlineStr">
        <is>
          <t>ร้านไอศกรีม, ร้านค้า</t>
        </is>
      </c>
      <c r="AD155" s="61" t="inlineStr">
        <is>
          <t>Google Maps (รายวัน)</t>
        </is>
      </c>
      <c r="AE155" s="61" t="inlineStr">
        <is>
          <t>ทุกวัน 10:00-18:00 (เสาร์)</t>
        </is>
      </c>
      <c r="AF155" s="61" t="inlineStr">
        <is>
          <t>ประมาณการจากประเภทร้าน/ทำเล (ยังไม่ยืนยัน)</t>
        </is>
      </c>
      <c r="AG155" s="63" t="n"/>
      <c r="AH155" s="61" t="inlineStr">
        <is>
          <t>ตลาดนัดจตุจักร จตุจักร</t>
        </is>
      </c>
      <c r="AI155" s="61" t="n"/>
      <c r="AJ155" s="61" t="inlineStr">
        <is>
          <t>ChIJw3rEYBWc4jARovBwcCEAYg8</t>
        </is>
      </c>
      <c r="AK155" s="64" t="inlineStr">
        <is>
          <t>เปิดแผนที่ ↗</t>
        </is>
      </c>
    </row>
    <row r="156" ht="20" customHeight="1">
      <c r="A156" s="50" t="inlineStr">
        <is>
          <t>bangkok-restaurant-swensens-chatuchak-mixt</t>
        </is>
      </c>
      <c r="B156" s="51" t="inlineStr">
        <is>
          <t>restaurant</t>
        </is>
      </c>
      <c r="C156" s="52" t="inlineStr">
        <is>
          <t>Swensen's Mixt Chatuchak</t>
        </is>
      </c>
      <c r="D156" s="53" t="inlineStr">
        <is>
          <t>จตุจักร</t>
        </is>
      </c>
      <c r="E156" s="54" t="n">
        <v>13.80188</v>
      </c>
      <c r="F156" s="55" t="n">
        <v>100.55096</v>
      </c>
      <c r="G156" s="56" t="inlineStr">
        <is>
          <t>family</t>
        </is>
      </c>
      <c r="H156" s="51" t="n">
        <v>2</v>
      </c>
      <c r="I156" s="57" t="n">
        <v>4.2</v>
      </c>
      <c r="J156" s="58" t="inlineStr">
        <is>
          <t>10:00-19:00</t>
        </is>
      </c>
      <c r="K156" s="51" t="inlineStr">
        <is>
          <t>10:00-19:00</t>
        </is>
      </c>
      <c r="L156" s="51" t="inlineStr">
        <is>
          <t>10:00-19:00</t>
        </is>
      </c>
      <c r="M156" s="51" t="inlineStr">
        <is>
          <t>10:00-19:00</t>
        </is>
      </c>
      <c r="N156" s="51" t="inlineStr">
        <is>
          <t>10:00-20:00</t>
        </is>
      </c>
      <c r="O156" s="51" t="inlineStr">
        <is>
          <t>10:00-20:00</t>
        </is>
      </c>
      <c r="P156" s="51" t="inlineStr">
        <is>
          <t>10:00-20:00</t>
        </is>
      </c>
      <c r="Q156" s="58" t="n">
        <v>30</v>
      </c>
      <c r="R156" s="59" t="n">
        <v>0</v>
      </c>
      <c r="S156" s="53" t="inlineStr">
        <is>
          <t>ร้านไอศกรีมสเวนเซ่นส์ ในห้าง Chatuchak Mixt</t>
        </is>
      </c>
      <c r="T156" s="51" t="n"/>
      <c r="U156" s="58" t="inlineStr">
        <is>
          <t>N</t>
        </is>
      </c>
      <c r="V156" s="53" t="n"/>
      <c r="W156" s="53" t="inlineStr">
        <is>
          <t>เวลาจริงไม่ใช่ "ทุกวัน" ตามตารางเดิม (เดิมเช็กแค่วันเสาร์)</t>
        </is>
      </c>
      <c r="X156" s="60" t="inlineStr">
        <is>
          <t>ร้านของหวาน</t>
        </is>
      </c>
      <c r="Y156" s="61" t="inlineStr">
        <is>
          <t>ตลาดจตุจักร</t>
        </is>
      </c>
      <c r="Z156" s="62" t="n">
        <v>0.24</v>
      </c>
      <c r="AA156" s="61" t="inlineStr">
        <is>
          <t>Swensen's Mixt Chatuchak</t>
        </is>
      </c>
      <c r="AB156" s="63" t="n">
        <v>69</v>
      </c>
      <c r="AC156" s="61" t="inlineStr">
        <is>
          <t>ร้านขนมหวาน</t>
        </is>
      </c>
      <c r="AD156" s="61" t="inlineStr">
        <is>
          <t>Google Maps (รายวัน)</t>
        </is>
      </c>
      <c r="AE156" s="61" t="inlineStr">
        <is>
          <t>ทุกวัน 10:00-20:00 (เสาร์)</t>
        </is>
      </c>
      <c r="AF156" s="61" t="inlineStr">
        <is>
          <t>ประมาณการจากประเภทร้าน/ทำเล (ยังไม่ยืนยัน)</t>
        </is>
      </c>
      <c r="AG156" s="63" t="n"/>
      <c r="AH156" s="61" t="inlineStr">
        <is>
          <t>8 ถ.กำแพงเพชร 3 จตุจักร</t>
        </is>
      </c>
      <c r="AI156" s="61" t="inlineStr">
        <is>
          <t>+66 85 803 2820</t>
        </is>
      </c>
      <c r="AJ156" s="61" t="inlineStr">
        <is>
          <t>ChIJw4cHbwCd4jARNo-5tj8cDeE</t>
        </is>
      </c>
      <c r="AK156" s="64" t="inlineStr">
        <is>
          <t>เปิดแผนที่ ↗</t>
        </is>
      </c>
    </row>
    <row r="157" ht="20" customHeight="1">
      <c r="A157" s="50" t="inlineStr">
        <is>
          <t>bangkok-restaurant-kaneko-hannosuke-siam-paragon</t>
        </is>
      </c>
      <c r="B157" s="51" t="inlineStr">
        <is>
          <t>restaurant</t>
        </is>
      </c>
      <c r="C157" s="52" t="inlineStr">
        <is>
          <t>Kaneko Hannosuke Siam Paragon</t>
        </is>
      </c>
      <c r="D157" s="53" t="inlineStr">
        <is>
          <t>สยาม/ปทุมวัน</t>
        </is>
      </c>
      <c r="E157" s="54" t="n">
        <v>13.74669</v>
      </c>
      <c r="F157" s="55" t="n">
        <v>100.53487</v>
      </c>
      <c r="G157" s="56" t="n"/>
      <c r="H157" s="51" t="n">
        <v>2</v>
      </c>
      <c r="I157" s="57" t="n">
        <v>4.8</v>
      </c>
      <c r="J157" s="58" t="inlineStr">
        <is>
          <t>10:00-22:00</t>
        </is>
      </c>
      <c r="K157" s="51" t="inlineStr">
        <is>
          <t>10:00-22:00</t>
        </is>
      </c>
      <c r="L157" s="51" t="inlineStr">
        <is>
          <t>10:00-22:00</t>
        </is>
      </c>
      <c r="M157" s="51" t="inlineStr">
        <is>
          <t>10:00-22:00</t>
        </is>
      </c>
      <c r="N157" s="51" t="inlineStr">
        <is>
          <t>10:00-22:00</t>
        </is>
      </c>
      <c r="O157" s="51" t="inlineStr">
        <is>
          <t>10:00-22:00</t>
        </is>
      </c>
      <c r="P157" s="51" t="inlineStr">
        <is>
          <t>10:00-22:00</t>
        </is>
      </c>
      <c r="Q157" s="58" t="n">
        <v>45</v>
      </c>
      <c r="R157" s="59" t="n">
        <v>0</v>
      </c>
      <c r="S157" s="53" t="inlineStr">
        <is>
          <t>ร้านข้าวหน้าเทมปุระสไตล์ญี่ปุ่น ชั้น 4 สยามพารากอน</t>
        </is>
      </c>
      <c r="T157" s="51" t="n"/>
      <c r="U157" s="58" t="inlineStr">
        <is>
          <t>Y</t>
        </is>
      </c>
      <c r="V157" s="53" t="inlineStr">
        <is>
          <t>ไม่มีแท็กที่ตรงประเภทอาหาร (อาหารต่างชาติ)</t>
        </is>
      </c>
      <c r="W157" s="53" t="n"/>
      <c r="X157" s="60" t="inlineStr">
        <is>
          <t>ร้านอาหาร</t>
        </is>
      </c>
      <c r="Y157" s="61" t="inlineStr">
        <is>
          <t>สยามพารากอน</t>
        </is>
      </c>
      <c r="Z157" s="62" t="n">
        <v>0.06</v>
      </c>
      <c r="AA157" s="61" t="inlineStr">
        <is>
          <t>Kaneko Hannosuke Siam Paragon</t>
        </is>
      </c>
      <c r="AB157" s="63" t="n">
        <v>138</v>
      </c>
      <c r="AC157" s="61" t="inlineStr">
        <is>
          <t>ร้านอาหารเทมปุระดงบุริ</t>
        </is>
      </c>
      <c r="AD157" s="61" t="inlineStr">
        <is>
          <t>Google Maps (รายวัน)</t>
        </is>
      </c>
      <c r="AE157" s="61" t="inlineStr">
        <is>
          <t>ทุกวัน 10:00-22:00</t>
        </is>
      </c>
      <c r="AF157" s="61" t="inlineStr">
        <is>
          <t>ประมาณการจากประเภทร้าน/ทำเล (ยังไม่ยืนยัน)</t>
        </is>
      </c>
      <c r="AG157" s="63" t="n"/>
      <c r="AH157" s="61" t="inlineStr">
        <is>
          <t>ชั้น 4 สยามพารากอน 991 ถ.พระราม 1 ปทุมวัน</t>
        </is>
      </c>
      <c r="AI157" s="61" t="inlineStr">
        <is>
          <t>+66 98 559 2694</t>
        </is>
      </c>
      <c r="AJ157" s="61" t="inlineStr">
        <is>
          <t>ChIJjdP6OTyf4jARimhHXNzD-Nw</t>
        </is>
      </c>
      <c r="AK157" s="64" t="inlineStr">
        <is>
          <t>เปิดแผนที่ ↗</t>
        </is>
      </c>
    </row>
    <row r="158" ht="20" customHeight="1">
      <c r="A158" s="50" t="inlineStr">
        <is>
          <t>bangkok-restaurant-sot-siam-paragon</t>
        </is>
      </c>
      <c r="B158" s="51" t="inlineStr">
        <is>
          <t>restaurant</t>
        </is>
      </c>
      <c r="C158" s="52" t="inlineStr">
        <is>
          <t>Sot Siam Paragon - Korean Pot Rice</t>
        </is>
      </c>
      <c r="D158" s="53" t="inlineStr">
        <is>
          <t>สยาม/ปทุมวัน</t>
        </is>
      </c>
      <c r="E158" s="54" t="n">
        <v>13.74637</v>
      </c>
      <c r="F158" s="55" t="n">
        <v>100.53447</v>
      </c>
      <c r="G158" s="56" t="n"/>
      <c r="H158" s="51" t="n">
        <v>2</v>
      </c>
      <c r="I158" s="57" t="n">
        <v>4.8</v>
      </c>
      <c r="J158" s="58" t="inlineStr">
        <is>
          <t>10:00-22:00</t>
        </is>
      </c>
      <c r="K158" s="51" t="inlineStr">
        <is>
          <t>10:00-22:00</t>
        </is>
      </c>
      <c r="L158" s="51" t="inlineStr">
        <is>
          <t>10:00-22:00</t>
        </is>
      </c>
      <c r="M158" s="51" t="inlineStr">
        <is>
          <t>10:00-22:00</t>
        </is>
      </c>
      <c r="N158" s="51" t="inlineStr">
        <is>
          <t>10:00-22:00</t>
        </is>
      </c>
      <c r="O158" s="51" t="inlineStr">
        <is>
          <t>10:00-22:00</t>
        </is>
      </c>
      <c r="P158" s="51" t="inlineStr">
        <is>
          <t>10:00-22:00</t>
        </is>
      </c>
      <c r="Q158" s="58" t="n">
        <v>45</v>
      </c>
      <c r="R158" s="59" t="n">
        <v>0</v>
      </c>
      <c r="S158" s="53" t="inlineStr">
        <is>
          <t>ร้านข้าวหม้อดินเกาหลี ชั้น 4 สยามพารากอน</t>
        </is>
      </c>
      <c r="T158" s="51" t="n"/>
      <c r="U158" s="58" t="inlineStr">
        <is>
          <t>Y</t>
        </is>
      </c>
      <c r="V158" s="53" t="inlineStr">
        <is>
          <t>ไม่มีแท็กที่ตรงประเภทอาหาร (อาหารต่างชาติ)</t>
        </is>
      </c>
      <c r="W158" s="53" t="n"/>
      <c r="X158" s="60" t="inlineStr">
        <is>
          <t>ร้านอาหาร</t>
        </is>
      </c>
      <c r="Y158" s="61" t="inlineStr">
        <is>
          <t>สยามพารากอน</t>
        </is>
      </c>
      <c r="Z158" s="62" t="n">
        <v>0.05</v>
      </c>
      <c r="AA158" s="61" t="inlineStr">
        <is>
          <t>Sot Siam Paragon - Korean Pot Rice</t>
        </is>
      </c>
      <c r="AB158" s="63" t="n">
        <v>245</v>
      </c>
      <c r="AC158" s="61" t="inlineStr">
        <is>
          <t>ภัตตาคารอาหารเกาหลี</t>
        </is>
      </c>
      <c r="AD158" s="61" t="inlineStr">
        <is>
          <t>Google Maps (รายวัน)</t>
        </is>
      </c>
      <c r="AE158" s="61" t="inlineStr">
        <is>
          <t>ทุกวัน 10:00-22:00</t>
        </is>
      </c>
      <c r="AF158" s="61" t="inlineStr">
        <is>
          <t>ประมาณการจากประเภทร้าน/ทำเล (ยังไม่ยืนยัน)</t>
        </is>
      </c>
      <c r="AG158" s="63" t="n"/>
      <c r="AH158" s="61" t="inlineStr">
        <is>
          <t>ชั้น 4 สยามพารากอน 991 ถ.พระราม 1 ปทุมวัน</t>
        </is>
      </c>
      <c r="AI158" s="61" t="inlineStr">
        <is>
          <t>+66 82 105 9971</t>
        </is>
      </c>
      <c r="AJ158" s="61" t="inlineStr">
        <is>
          <t>ChIJR8JsZ7Gf4jARsMFdVqqbpSI</t>
        </is>
      </c>
      <c r="AK158" s="64" t="inlineStr">
        <is>
          <t>เปิดแผนที่ ↗</t>
        </is>
      </c>
    </row>
    <row r="159" ht="20" customHeight="1">
      <c r="A159" s="50" t="inlineStr">
        <is>
          <t>bangkok-restaurant-maguro-kappou-siam-paragon</t>
        </is>
      </c>
      <c r="B159" s="51" t="inlineStr">
        <is>
          <t>restaurant</t>
        </is>
      </c>
      <c r="C159" s="52" t="inlineStr">
        <is>
          <t>MAGURO Kappou สาขา Siam Paragon</t>
        </is>
      </c>
      <c r="D159" s="53" t="inlineStr">
        <is>
          <t>สยาม/ปทุมวัน</t>
        </is>
      </c>
      <c r="E159" s="54" t="n">
        <v>13.7463</v>
      </c>
      <c r="F159" s="55" t="n">
        <v>100.53502</v>
      </c>
      <c r="G159" s="56" t="inlineStr">
        <is>
          <t>seafood</t>
        </is>
      </c>
      <c r="H159" s="51" t="n">
        <v>3</v>
      </c>
      <c r="I159" s="57" t="n">
        <v>4.8</v>
      </c>
      <c r="J159" s="58" t="inlineStr">
        <is>
          <t>10:00-22:00</t>
        </is>
      </c>
      <c r="K159" s="51" t="inlineStr">
        <is>
          <t>10:00-22:00</t>
        </is>
      </c>
      <c r="L159" s="51" t="inlineStr">
        <is>
          <t>10:00-22:00</t>
        </is>
      </c>
      <c r="M159" s="51" t="inlineStr">
        <is>
          <t>10:00-22:00</t>
        </is>
      </c>
      <c r="N159" s="51" t="inlineStr">
        <is>
          <t>10:00-22:00</t>
        </is>
      </c>
      <c r="O159" s="51" t="inlineStr">
        <is>
          <t>10:00-22:00</t>
        </is>
      </c>
      <c r="P159" s="51" t="inlineStr">
        <is>
          <t>10:00-22:00</t>
        </is>
      </c>
      <c r="Q159" s="58" t="n">
        <v>60</v>
      </c>
      <c r="R159" s="59" t="n">
        <v>0</v>
      </c>
      <c r="S159" s="53" t="inlineStr">
        <is>
          <t>ร้านอาหารญี่ปุ่นเน้นปลาทูน่า ชั้น 4 สยามพารากอน</t>
        </is>
      </c>
      <c r="T159" s="51" t="n"/>
      <c r="U159" s="58" t="inlineStr">
        <is>
          <t>Y</t>
        </is>
      </c>
      <c r="V159" s="53" t="n"/>
      <c r="W159" s="53" t="n"/>
      <c r="X159" s="60" t="inlineStr">
        <is>
          <t>ร้านอาหาร</t>
        </is>
      </c>
      <c r="Y159" s="61" t="inlineStr">
        <is>
          <t>สยามพารากอน</t>
        </is>
      </c>
      <c r="Z159" s="62" t="n">
        <v>0.02</v>
      </c>
      <c r="AA159" s="61" t="inlineStr">
        <is>
          <t>MAGURO Kappou สาขา Siam Paragon</t>
        </is>
      </c>
      <c r="AB159" s="63" t="n">
        <v>173</v>
      </c>
      <c r="AC159" s="61" t="inlineStr">
        <is>
          <t>ภัตตาคารอาหารญี่ปุ่น</t>
        </is>
      </c>
      <c r="AD159" s="61" t="inlineStr">
        <is>
          <t>Google Maps (รายวัน)</t>
        </is>
      </c>
      <c r="AE159" s="61" t="inlineStr">
        <is>
          <t>ทุกวัน 10:00-22:00</t>
        </is>
      </c>
      <c r="AF159" s="61" t="inlineStr">
        <is>
          <t>ประมาณการจากประเภทร้าน/ทำเล (ยังไม่ยืนยัน)</t>
        </is>
      </c>
      <c r="AG159" s="63" t="n"/>
      <c r="AH159" s="61" t="inlineStr">
        <is>
          <t>ชั้น 4 สยามพารากอน 991 ถ.พระราม 1 ปทุมวัน</t>
        </is>
      </c>
      <c r="AI159" s="61" t="inlineStr">
        <is>
          <t>+66 83 926 6452</t>
        </is>
      </c>
      <c r="AJ159" s="61" t="inlineStr">
        <is>
          <t>ChIJ-e7PJwCf4jARb2x7TYmSFn0</t>
        </is>
      </c>
      <c r="AK159" s="64" t="inlineStr">
        <is>
          <t>เปิดแผนที่ ↗</t>
        </is>
      </c>
    </row>
    <row r="160" ht="20" customHeight="1">
      <c r="A160" s="50" t="inlineStr">
        <is>
          <t>bangkok-restaurant-bacha-coffee-siam-paragon</t>
        </is>
      </c>
      <c r="B160" s="51" t="inlineStr">
        <is>
          <t>restaurant</t>
        </is>
      </c>
      <c r="C160" s="52" t="inlineStr">
        <is>
          <t>Bacha Coffee Siam Paragon</t>
        </is>
      </c>
      <c r="D160" s="53" t="inlineStr">
        <is>
          <t>สยาม/ปทุมวัน</t>
        </is>
      </c>
      <c r="E160" s="54" t="n">
        <v>13.74642</v>
      </c>
      <c r="F160" s="55" t="n">
        <v>100.53461</v>
      </c>
      <c r="G160" s="56" t="inlineStr">
        <is>
          <t>cafe</t>
        </is>
      </c>
      <c r="H160" s="51" t="n">
        <v>3</v>
      </c>
      <c r="I160" s="57" t="n">
        <v>4.4</v>
      </c>
      <c r="J160" s="58" t="inlineStr">
        <is>
          <t>10:00-22:00</t>
        </is>
      </c>
      <c r="K160" s="51" t="inlineStr">
        <is>
          <t>10:00-22:00</t>
        </is>
      </c>
      <c r="L160" s="51" t="inlineStr">
        <is>
          <t>10:00-22:00</t>
        </is>
      </c>
      <c r="M160" s="51" t="inlineStr">
        <is>
          <t>10:00-22:00</t>
        </is>
      </c>
      <c r="N160" s="51" t="inlineStr">
        <is>
          <t>10:00-22:00</t>
        </is>
      </c>
      <c r="O160" s="51" t="inlineStr">
        <is>
          <t>10:00-22:00</t>
        </is>
      </c>
      <c r="P160" s="51" t="inlineStr">
        <is>
          <t>10:00-22:00</t>
        </is>
      </c>
      <c r="Q160" s="58" t="n">
        <v>30</v>
      </c>
      <c r="R160" s="59" t="n">
        <v>0</v>
      </c>
      <c r="S160" s="53" t="inlineStr">
        <is>
          <t>ร้านกาแฟ Bacha Coffee สาขาสยามพารากอน</t>
        </is>
      </c>
      <c r="T160" s="51" t="n"/>
      <c r="U160" s="58" t="inlineStr">
        <is>
          <t>N</t>
        </is>
      </c>
      <c r="V160" s="53" t="n"/>
      <c r="W160" s="53" t="n"/>
      <c r="X160" s="60" t="inlineStr">
        <is>
          <t>ร้านเครื่องดื่ม</t>
        </is>
      </c>
      <c r="Y160" s="61" t="inlineStr">
        <is>
          <t>สยามพารากอน</t>
        </is>
      </c>
      <c r="Z160" s="62" t="n">
        <v>0.04</v>
      </c>
      <c r="AA160" s="61" t="inlineStr">
        <is>
          <t>Bacha Coffee Siam Paragon</t>
        </is>
      </c>
      <c r="AB160" s="63" t="n">
        <v>241</v>
      </c>
      <c r="AC160" s="61" t="inlineStr">
        <is>
          <t>ร้านกาแฟ</t>
        </is>
      </c>
      <c r="AD160" s="61" t="inlineStr">
        <is>
          <t>Google Maps (รายวัน)</t>
        </is>
      </c>
      <c r="AE160" s="61" t="inlineStr">
        <is>
          <t>ทุกวัน 10:00-22:00</t>
        </is>
      </c>
      <c r="AF160" s="61" t="inlineStr">
        <is>
          <t>ประมาณการจากประเภทร้าน/ทำเล (ยังไม่ยืนยัน)</t>
        </is>
      </c>
      <c r="AG160" s="63" t="n"/>
      <c r="AH160" s="61" t="inlineStr">
        <is>
          <t>G15 สยามพารากอน 991 ถ.พระราม 1 ปทุมวัน</t>
        </is>
      </c>
      <c r="AI160" s="61" t="inlineStr">
        <is>
          <t>+66 91 783 9998</t>
        </is>
      </c>
      <c r="AJ160" s="61" t="inlineStr">
        <is>
          <t>ChIJuSKxXgCf4jAR-_vdS8kcUXA</t>
        </is>
      </c>
      <c r="AK160" s="64" t="inlineStr">
        <is>
          <t>เปิดแผนที่ ↗</t>
        </is>
      </c>
    </row>
    <row r="161" ht="20" customHeight="1">
      <c r="A161" s="50" t="inlineStr">
        <is>
          <t>bangkok-restaurant-the-summer-coffee-siam-paragon</t>
        </is>
      </c>
      <c r="B161" s="51" t="inlineStr">
        <is>
          <t>restaurant</t>
        </is>
      </c>
      <c r="C161" s="52" t="inlineStr">
        <is>
          <t>The Summer Coffee Siam Paragon</t>
        </is>
      </c>
      <c r="D161" s="53" t="inlineStr">
        <is>
          <t>สยาม/ปทุมวัน</t>
        </is>
      </c>
      <c r="E161" s="54" t="n">
        <v>13.74595</v>
      </c>
      <c r="F161" s="55" t="n">
        <v>100.53475</v>
      </c>
      <c r="G161" s="56" t="inlineStr">
        <is>
          <t>cafe</t>
        </is>
      </c>
      <c r="H161" s="51" t="n">
        <v>2</v>
      </c>
      <c r="I161" s="57" t="n">
        <v>4.7</v>
      </c>
      <c r="J161" s="58" t="inlineStr">
        <is>
          <t>10:00-22:00</t>
        </is>
      </c>
      <c r="K161" s="51" t="inlineStr">
        <is>
          <t>10:00-22:00</t>
        </is>
      </c>
      <c r="L161" s="51" t="inlineStr">
        <is>
          <t>10:00-22:00</t>
        </is>
      </c>
      <c r="M161" s="51" t="inlineStr">
        <is>
          <t>10:00-22:00</t>
        </is>
      </c>
      <c r="N161" s="51" t="inlineStr">
        <is>
          <t>10:00-22:00</t>
        </is>
      </c>
      <c r="O161" s="51" t="inlineStr">
        <is>
          <t>10:00-22:00</t>
        </is>
      </c>
      <c r="P161" s="51" t="inlineStr">
        <is>
          <t>10:00-22:00</t>
        </is>
      </c>
      <c r="Q161" s="58" t="n">
        <v>30</v>
      </c>
      <c r="R161" s="59" t="n">
        <v>0</v>
      </c>
      <c r="S161" s="53" t="inlineStr">
        <is>
          <t>ร้านกาแฟในสยามพารากอน</t>
        </is>
      </c>
      <c r="T161" s="51" t="n"/>
      <c r="U161" s="58" t="inlineStr">
        <is>
          <t>N</t>
        </is>
      </c>
      <c r="V161" s="53" t="n"/>
      <c r="W161" s="53" t="n"/>
      <c r="X161" s="60" t="inlineStr">
        <is>
          <t>ร้านเครื่องดื่ม</t>
        </is>
      </c>
      <c r="Y161" s="61" t="inlineStr">
        <is>
          <t>สยามพารากอน</t>
        </is>
      </c>
      <c r="Z161" s="62" t="n">
        <v>0.03</v>
      </c>
      <c r="AA161" s="61" t="inlineStr">
        <is>
          <t>The Summer Coffee - Siam Paragon</t>
        </is>
      </c>
      <c r="AB161" s="63" t="n">
        <v>404</v>
      </c>
      <c r="AC161" s="61" t="inlineStr">
        <is>
          <t>ร้านกาแฟ</t>
        </is>
      </c>
      <c r="AD161" s="61" t="inlineStr">
        <is>
          <t>Google Maps (รายวัน)</t>
        </is>
      </c>
      <c r="AE161" s="61" t="inlineStr">
        <is>
          <t>ทุกวัน 10:00-22:00</t>
        </is>
      </c>
      <c r="AF161" s="61" t="inlineStr">
        <is>
          <t>ประมาณการจากประเภทร้าน/ทำเล (ยังไม่ยืนยัน)</t>
        </is>
      </c>
      <c r="AG161" s="63" t="n"/>
      <c r="AH161" s="61" t="inlineStr">
        <is>
          <t>สยามพารากอน ถ.พระราม 1 ปทุมวัน</t>
        </is>
      </c>
      <c r="AI161" s="61" t="n"/>
      <c r="AJ161" s="61" t="inlineStr">
        <is>
          <t>ChIJEfw6CQCf4jARFu-A7izcm2w</t>
        </is>
      </c>
      <c r="AK161" s="64" t="inlineStr">
        <is>
          <t>เปิดแผนที่ ↗</t>
        </is>
      </c>
    </row>
    <row r="162" ht="20" customHeight="1">
      <c r="A162" s="50" t="inlineStr">
        <is>
          <t>bangkok-restaurant-karun-thai-tea-siam-paragon</t>
        </is>
      </c>
      <c r="B162" s="51" t="inlineStr">
        <is>
          <t>restaurant</t>
        </is>
      </c>
      <c r="C162" s="52" t="inlineStr">
        <is>
          <t>Karun Thai Tea Siam Paragon</t>
        </is>
      </c>
      <c r="D162" s="53" t="inlineStr">
        <is>
          <t>สยาม/ปทุมวัน</t>
        </is>
      </c>
      <c r="E162" s="54" t="n">
        <v>13.74713</v>
      </c>
      <c r="F162" s="55" t="n">
        <v>100.53437</v>
      </c>
      <c r="G162" s="56" t="inlineStr">
        <is>
          <t>cafe,localFood</t>
        </is>
      </c>
      <c r="H162" s="51" t="n">
        <v>2</v>
      </c>
      <c r="I162" s="57" t="n">
        <v>4.4</v>
      </c>
      <c r="J162" s="58" t="inlineStr">
        <is>
          <t>10:00-21:30</t>
        </is>
      </c>
      <c r="K162" s="51" t="inlineStr">
        <is>
          <t>10:00-21:30</t>
        </is>
      </c>
      <c r="L162" s="51" t="inlineStr">
        <is>
          <t>10:00-21:30</t>
        </is>
      </c>
      <c r="M162" s="51" t="inlineStr">
        <is>
          <t>10:00-21:30</t>
        </is>
      </c>
      <c r="N162" s="51" t="inlineStr">
        <is>
          <t>10:00-21:30</t>
        </is>
      </c>
      <c r="O162" s="51" t="inlineStr">
        <is>
          <t>10:00-21:30</t>
        </is>
      </c>
      <c r="P162" s="51" t="inlineStr">
        <is>
          <t>10:00-21:30</t>
        </is>
      </c>
      <c r="Q162" s="58" t="n">
        <v>20</v>
      </c>
      <c r="R162" s="59" t="n">
        <v>0</v>
      </c>
      <c r="S162" s="53" t="inlineStr">
        <is>
          <t>ร้านชาไทย Karun ชั้น G สยามพารากอน</t>
        </is>
      </c>
      <c r="T162" s="51" t="n"/>
      <c r="U162" s="58" t="inlineStr">
        <is>
          <t>N</t>
        </is>
      </c>
      <c r="V162" s="53" t="n"/>
      <c r="W162" s="53" t="n"/>
      <c r="X162" s="60" t="inlineStr">
        <is>
          <t>ร้านเครื่องดื่ม</t>
        </is>
      </c>
      <c r="Y162" s="61" t="inlineStr">
        <is>
          <t>สยามพารากอน</t>
        </is>
      </c>
      <c r="Z162" s="62" t="n">
        <v>0.12</v>
      </c>
      <c r="AA162" s="61" t="inlineStr">
        <is>
          <t>Karun Thai Tea</t>
        </is>
      </c>
      <c r="AB162" s="63" t="n">
        <v>381</v>
      </c>
      <c r="AC162" s="61" t="inlineStr">
        <is>
          <t>ร้านใบชา</t>
        </is>
      </c>
      <c r="AD162" s="61" t="inlineStr">
        <is>
          <t>Google Maps (รายวัน)</t>
        </is>
      </c>
      <c r="AE162" s="61" t="inlineStr">
        <is>
          <t>ทุกวัน 10:00-21:30</t>
        </is>
      </c>
      <c r="AF162" s="61" t="inlineStr">
        <is>
          <t>ประมาณการจากประเภทร้าน/ทำเล (ยังไม่ยืนยัน)</t>
        </is>
      </c>
      <c r="AG162" s="63" t="n"/>
      <c r="AH162" s="61" t="inlineStr">
        <is>
          <t>ชั้น G สยามพารากอน 991/1 ถ.พระราม 1 ปทุมวัน</t>
        </is>
      </c>
      <c r="AI162" s="61" t="inlineStr">
        <is>
          <t>+66 82 939 4564</t>
        </is>
      </c>
      <c r="AJ162" s="61" t="inlineStr">
        <is>
          <t>ChIJI9x17Omf4jARDqrBnFQoX5w</t>
        </is>
      </c>
      <c r="AK162" s="64" t="inlineStr">
        <is>
          <t>เปิดแผนที่ ↗</t>
        </is>
      </c>
    </row>
    <row r="163" ht="20" customHeight="1">
      <c r="A163" s="50" t="inlineStr">
        <is>
          <t>bangkok-restaurant-luscious-creamery-siam-paragon</t>
        </is>
      </c>
      <c r="B163" s="51" t="inlineStr">
        <is>
          <t>restaurant</t>
        </is>
      </c>
      <c r="C163" s="52" t="inlineStr">
        <is>
          <t>Luscious Creamery Siam Paragon</t>
        </is>
      </c>
      <c r="D163" s="53" t="inlineStr">
        <is>
          <t>สยาม/ปทุมวัน</t>
        </is>
      </c>
      <c r="E163" s="54" t="n">
        <v>13.74674</v>
      </c>
      <c r="F163" s="55" t="n">
        <v>100.53503</v>
      </c>
      <c r="G163" s="56" t="inlineStr">
        <is>
          <t>cafe</t>
        </is>
      </c>
      <c r="H163" s="51" t="n">
        <v>2</v>
      </c>
      <c r="I163" s="57" t="n">
        <v>5</v>
      </c>
      <c r="J163" s="58" t="inlineStr">
        <is>
          <t>11:00-22:00</t>
        </is>
      </c>
      <c r="K163" s="51" t="inlineStr">
        <is>
          <t>11:00-22:00</t>
        </is>
      </c>
      <c r="L163" s="51" t="inlineStr">
        <is>
          <t>11:00-22:00</t>
        </is>
      </c>
      <c r="M163" s="51" t="inlineStr">
        <is>
          <t>11:00-22:00</t>
        </is>
      </c>
      <c r="N163" s="51" t="inlineStr">
        <is>
          <t>11:00-22:00</t>
        </is>
      </c>
      <c r="O163" s="51" t="inlineStr">
        <is>
          <t>11:00-22:00</t>
        </is>
      </c>
      <c r="P163" s="51" t="inlineStr">
        <is>
          <t>11:00-22:00</t>
        </is>
      </c>
      <c r="Q163" s="58" t="n">
        <v>20</v>
      </c>
      <c r="R163" s="59" t="n">
        <v>0</v>
      </c>
      <c r="S163" s="53" t="inlineStr">
        <is>
          <t>ร้านไอศกรีม ชั้น 4 สยามพารากอน</t>
        </is>
      </c>
      <c r="T163" s="51" t="n"/>
      <c r="U163" s="58" t="inlineStr">
        <is>
          <t>N</t>
        </is>
      </c>
      <c r="V163" s="53" t="n"/>
      <c r="W163" s="53" t="n"/>
      <c r="X163" s="60" t="inlineStr">
        <is>
          <t>ร้านของหวาน</t>
        </is>
      </c>
      <c r="Y163" s="61" t="inlineStr">
        <is>
          <t>สยามพารากอน</t>
        </is>
      </c>
      <c r="Z163" s="62" t="n">
        <v>0.07000000000000001</v>
      </c>
      <c r="AA163" s="61" t="inlineStr">
        <is>
          <t>Luscious Creamery Siam Paragon</t>
        </is>
      </c>
      <c r="AB163" s="63" t="n">
        <v>913</v>
      </c>
      <c r="AC163" s="61" t="inlineStr">
        <is>
          <t>ร้านไอศกรีม</t>
        </is>
      </c>
      <c r="AD163" s="61" t="inlineStr">
        <is>
          <t>Google Maps (รายวัน)</t>
        </is>
      </c>
      <c r="AE163" s="61" t="inlineStr">
        <is>
          <t>ทุกวัน 11:00-22:00</t>
        </is>
      </c>
      <c r="AF163" s="61" t="inlineStr">
        <is>
          <t>ประมาณการจากประเภทร้าน/ทำเล (ยังไม่ยืนยัน)</t>
        </is>
      </c>
      <c r="AG163" s="63" t="n"/>
      <c r="AH163" s="61" t="inlineStr">
        <is>
          <t>ชั้น 4 สยามพารากอน 991 ถ.พระราม 1 ปทุมวัน</t>
        </is>
      </c>
      <c r="AI163" s="61" t="inlineStr">
        <is>
          <t>+66 64 945 8057</t>
        </is>
      </c>
      <c r="AJ163" s="61" t="inlineStr">
        <is>
          <t>ChIJOTbgFaCf4jAR7kIzCLDVcN8</t>
        </is>
      </c>
      <c r="AK163" s="64" t="inlineStr">
        <is>
          <t>เปิดแผนที่ ↗</t>
        </is>
      </c>
    </row>
    <row r="164" ht="20" customHeight="1">
      <c r="A164" s="50" t="inlineStr">
        <is>
          <t>bangkok-restaurant-yok-sod-siam-paragon</t>
        </is>
      </c>
      <c r="B164" s="51" t="inlineStr">
        <is>
          <t>restaurant</t>
        </is>
      </c>
      <c r="C164" s="52" t="inlineStr">
        <is>
          <t>ขนมไทย หยกสด ใบเตยแท้ 100% - Siam Paragon</t>
        </is>
      </c>
      <c r="D164" s="53" t="inlineStr">
        <is>
          <t>สยาม/ปทุมวัน</t>
        </is>
      </c>
      <c r="E164" s="54" t="n">
        <v>13.7464914</v>
      </c>
      <c r="F164" s="55" t="n">
        <v>100.5345774</v>
      </c>
      <c r="G164" s="56" t="inlineStr">
        <is>
          <t>localFood</t>
        </is>
      </c>
      <c r="H164" s="51" t="n">
        <v>1</v>
      </c>
      <c r="I164" s="57" t="n">
        <v>4.9</v>
      </c>
      <c r="J164" s="58" t="inlineStr">
        <is>
          <t>10:00-22:00</t>
        </is>
      </c>
      <c r="K164" s="51" t="inlineStr">
        <is>
          <t>10:00-22:00</t>
        </is>
      </c>
      <c r="L164" s="51" t="inlineStr">
        <is>
          <t>10:00-22:00</t>
        </is>
      </c>
      <c r="M164" s="51" t="inlineStr">
        <is>
          <t>10:00-22:00</t>
        </is>
      </c>
      <c r="N164" s="51" t="inlineStr">
        <is>
          <t>10:00-22:00</t>
        </is>
      </c>
      <c r="O164" s="51" t="inlineStr">
        <is>
          <t>10:00-22:00</t>
        </is>
      </c>
      <c r="P164" s="51" t="inlineStr">
        <is>
          <t>10:00-22:00</t>
        </is>
      </c>
      <c r="Q164" s="58" t="n">
        <v>20</v>
      </c>
      <c r="R164" s="59" t="n">
        <v>0</v>
      </c>
      <c r="S164" s="53" t="inlineStr">
        <is>
          <t>ร้านขนมไทยใบเตย ใน Gourmet Market สยามพารากอน</t>
        </is>
      </c>
      <c r="T164" s="51" t="n"/>
      <c r="U164" s="58" t="inlineStr">
        <is>
          <t>N</t>
        </is>
      </c>
      <c r="V164" s="53" t="n"/>
      <c r="W164" s="53" t="n"/>
      <c r="X164" s="60" t="inlineStr">
        <is>
          <t>ร้านของหวาน</t>
        </is>
      </c>
      <c r="Y164" s="61" t="inlineStr">
        <is>
          <t>สยามพารากอน</t>
        </is>
      </c>
      <c r="Z164" s="62" t="n">
        <v>0.05</v>
      </c>
      <c r="AA164" s="61" t="inlineStr">
        <is>
          <t>Thai dessert หยกสด ขนมไทยใบเตยแท้100% - Siam Paragon (สยามพารากอน)</t>
        </is>
      </c>
      <c r="AB164" s="63" t="n">
        <v>510</v>
      </c>
      <c r="AC164" s="61" t="inlineStr">
        <is>
          <t>ร้านของหวาน</t>
        </is>
      </c>
      <c r="AD164" s="61" t="inlineStr">
        <is>
          <t>Google Maps (รายวัน)</t>
        </is>
      </c>
      <c r="AE164" s="61" t="inlineStr">
        <is>
          <t>ทุกวัน 10:00-22:00</t>
        </is>
      </c>
      <c r="AF164" s="61" t="inlineStr">
        <is>
          <t>ประมาณการจากประเภทร้าน/ทำเล (ยังไม่ยืนยัน)</t>
        </is>
      </c>
      <c r="AG164" s="63" t="n"/>
      <c r="AH164" s="61" t="inlineStr">
        <is>
          <t>ชั้น G Gourmet Market สยามพารากอน</t>
        </is>
      </c>
      <c r="AI164" s="61" t="inlineStr">
        <is>
          <t>+66 61 272 4990</t>
        </is>
      </c>
      <c r="AJ164" s="61" t="inlineStr">
        <is>
          <t>ChIJUYtlbzyf4jAR7COgQ6vymRE</t>
        </is>
      </c>
      <c r="AK164" s="64" t="inlineStr">
        <is>
          <t>เปิดแผนที่ ↗</t>
        </is>
      </c>
    </row>
    <row r="165" ht="20" customHeight="1">
      <c r="A165" s="50" t="inlineStr">
        <is>
          <t>bangkok-restaurant-pang-cha-siam-paragon</t>
        </is>
      </c>
      <c r="B165" s="51" t="inlineStr">
        <is>
          <t>restaurant</t>
        </is>
      </c>
      <c r="C165" s="52" t="inlineStr">
        <is>
          <t>Pang Cha Cafe Siam Paragon</t>
        </is>
      </c>
      <c r="D165" s="53" t="inlineStr">
        <is>
          <t>สยาม/ปทุมวัน</t>
        </is>
      </c>
      <c r="E165" s="54" t="n">
        <v>13.74767</v>
      </c>
      <c r="F165" s="55" t="n">
        <v>100.53472</v>
      </c>
      <c r="G165" s="56" t="inlineStr">
        <is>
          <t>cafe,localFood</t>
        </is>
      </c>
      <c r="H165" s="51" t="n">
        <v>2</v>
      </c>
      <c r="I165" s="57" t="n">
        <v>4.3</v>
      </c>
      <c r="J165" s="58" t="inlineStr">
        <is>
          <t>10:00-22:00</t>
        </is>
      </c>
      <c r="K165" s="51" t="inlineStr">
        <is>
          <t>10:00-22:00</t>
        </is>
      </c>
      <c r="L165" s="51" t="inlineStr">
        <is>
          <t>10:00-22:00</t>
        </is>
      </c>
      <c r="M165" s="51" t="inlineStr">
        <is>
          <t>10:00-22:00</t>
        </is>
      </c>
      <c r="N165" s="51" t="inlineStr">
        <is>
          <t>10:00-22:00</t>
        </is>
      </c>
      <c r="O165" s="51" t="inlineStr">
        <is>
          <t>10:00-22:00</t>
        </is>
      </c>
      <c r="P165" s="51" t="inlineStr">
        <is>
          <t>10:00-22:00</t>
        </is>
      </c>
      <c r="Q165" s="58" t="n">
        <v>30</v>
      </c>
      <c r="R165" s="59" t="n">
        <v>0</v>
      </c>
      <c r="S165" s="53" t="inlineStr">
        <is>
          <t>ร้านบิงซูชาไทย ปังชา สาขาสยามพารากอน</t>
        </is>
      </c>
      <c r="T165" s="51" t="n"/>
      <c r="U165" s="58" t="inlineStr">
        <is>
          <t>N</t>
        </is>
      </c>
      <c r="V165" s="53" t="n"/>
      <c r="W165" s="53" t="n"/>
      <c r="X165" s="60" t="inlineStr">
        <is>
          <t>ร้านของหวาน</t>
        </is>
      </c>
      <c r="Y165" s="61" t="inlineStr">
        <is>
          <t>สยามพารากอน</t>
        </is>
      </c>
      <c r="Z165" s="62" t="n">
        <v>0.17</v>
      </c>
      <c r="AA165" s="61" t="inlineStr">
        <is>
          <t>ปังชา Pang Cha Siam Paragon (World Class Thai Tea)</t>
        </is>
      </c>
      <c r="AB165" s="63" t="n">
        <v>674</v>
      </c>
      <c r="AC165" s="61" t="inlineStr">
        <is>
          <t>ร้านขนมหวาน</t>
        </is>
      </c>
      <c r="AD165" s="61" t="inlineStr">
        <is>
          <t>Google Maps (รายวัน)</t>
        </is>
      </c>
      <c r="AE165" s="61" t="inlineStr">
        <is>
          <t>ทุกวัน 10:00-22:00</t>
        </is>
      </c>
      <c r="AF165" s="61" t="inlineStr">
        <is>
          <t>ประมาณการจากประเภทร้าน/ทำเล (ยังไม่ยืนยัน)</t>
        </is>
      </c>
      <c r="AG165" s="63" t="n"/>
      <c r="AH165" s="61" t="inlineStr">
        <is>
          <t>ชั้น G สยามพารากอน 991/1 ถ.พระราม 1 ปทุมวัน</t>
        </is>
      </c>
      <c r="AI165" s="61" t="inlineStr">
        <is>
          <t>+66 2 028 8323</t>
        </is>
      </c>
      <c r="AJ165" s="61" t="inlineStr">
        <is>
          <t>ChIJpcosguSZ4jARk4ksUBZuelo</t>
        </is>
      </c>
      <c r="AK165" s="64" t="inlineStr">
        <is>
          <t>เปิดแผนที่ ↗</t>
        </is>
      </c>
    </row>
    <row r="166" ht="20" customHeight="1">
      <c r="A166" s="50" t="inlineStr">
        <is>
          <t>bangkok-restaurant-khao-jaan-prod-iconsiam</t>
        </is>
      </c>
      <c r="B166" s="51" t="inlineStr">
        <is>
          <t>restaurant</t>
        </is>
      </c>
      <c r="C166" s="52" t="inlineStr">
        <is>
          <t>KJP - KHAO JAAN PROD (ICONSIAM)</t>
        </is>
      </c>
      <c r="D166" s="53" t="inlineStr">
        <is>
          <t>ริมแม่น้ำเจ้าพระยา</t>
        </is>
      </c>
      <c r="E166" s="54" t="n">
        <v>13.72685</v>
      </c>
      <c r="F166" s="55" t="n">
        <v>100.5109</v>
      </c>
      <c r="G166" s="56" t="inlineStr">
        <is>
          <t>localFood</t>
        </is>
      </c>
      <c r="H166" s="51" t="n">
        <v>3</v>
      </c>
      <c r="I166" s="57" t="n">
        <v>4.9</v>
      </c>
      <c r="J166" s="58" t="inlineStr">
        <is>
          <t>11:00-22:00</t>
        </is>
      </c>
      <c r="K166" s="51" t="inlineStr">
        <is>
          <t>11:00-22:00</t>
        </is>
      </c>
      <c r="L166" s="51" t="inlineStr">
        <is>
          <t>11:00-22:00</t>
        </is>
      </c>
      <c r="M166" s="51" t="inlineStr">
        <is>
          <t>11:00-22:00</t>
        </is>
      </c>
      <c r="N166" s="51" t="inlineStr">
        <is>
          <t>11:00-22:00</t>
        </is>
      </c>
      <c r="O166" s="51" t="inlineStr">
        <is>
          <t>11:00-22:00</t>
        </is>
      </c>
      <c r="P166" s="51" t="inlineStr">
        <is>
          <t>11:00-22:00</t>
        </is>
      </c>
      <c r="Q166" s="58" t="n">
        <v>60</v>
      </c>
      <c r="R166" s="59" t="n">
        <v>0</v>
      </c>
      <c r="S166" s="53" t="inlineStr">
        <is>
          <t>ร้านอาหารไทยร่วมสมัย ชั้น 2 ไอคอนสยาม</t>
        </is>
      </c>
      <c r="T166" s="51" t="n"/>
      <c r="U166" s="58" t="inlineStr">
        <is>
          <t>Y</t>
        </is>
      </c>
      <c r="V166" s="53" t="n"/>
      <c r="W166" s="53" t="n"/>
      <c r="X166" s="60" t="inlineStr">
        <is>
          <t>ร้านอาหาร</t>
        </is>
      </c>
      <c r="Y166" s="61" t="inlineStr">
        <is>
          <t>ไอคอนสยาม</t>
        </is>
      </c>
      <c r="Z166" s="62" t="n">
        <v>0.08</v>
      </c>
      <c r="AA166" s="61" t="inlineStr">
        <is>
          <t>KJP - KHAO JAAN PROD (ICONSIAM)</t>
        </is>
      </c>
      <c r="AB166" s="63" t="n">
        <v>171</v>
      </c>
      <c r="AC166" s="61" t="inlineStr">
        <is>
          <t>ภัตตาคารอาหารไทย</t>
        </is>
      </c>
      <c r="AD166" s="61" t="inlineStr">
        <is>
          <t>Google Maps (รายวัน)</t>
        </is>
      </c>
      <c r="AE166" s="61" t="inlineStr">
        <is>
          <t>ทุกวัน 11:00-22:00 (เสาร์)</t>
        </is>
      </c>
      <c r="AF166" s="61" t="inlineStr">
        <is>
          <t>ประมาณการจากประเภทร้าน/ทำเล (ยังไม่ยืนยัน)</t>
        </is>
      </c>
      <c r="AG166" s="63" t="n"/>
      <c r="AH166" s="61" t="inlineStr">
        <is>
          <t>ชั้น 2 ห้อง 211 ICONSIAM 299 ถ.เจริญนคร คลองต้นไทร</t>
        </is>
      </c>
      <c r="AI166" s="61" t="inlineStr">
        <is>
          <t>+66 65 710 9999</t>
        </is>
      </c>
      <c r="AJ166" s="61" t="inlineStr">
        <is>
          <t>ChIJjzv-dPKZ4jARCp1aouyBpE8</t>
        </is>
      </c>
      <c r="AK166" s="64" t="inlineStr">
        <is>
          <t>เปิดแผนที่ ↗</t>
        </is>
      </c>
    </row>
    <row r="167" ht="20" customHeight="1">
      <c r="A167" s="50" t="inlineStr">
        <is>
          <t>bangkok-restaurant-bread-street-kitchen-iconsiam</t>
        </is>
      </c>
      <c r="B167" s="51" t="inlineStr">
        <is>
          <t>restaurant</t>
        </is>
      </c>
      <c r="C167" s="52" t="inlineStr">
        <is>
          <t>Bread Street Kitchen &amp; Bar - ICONSIAM</t>
        </is>
      </c>
      <c r="D167" s="53" t="inlineStr">
        <is>
          <t>ริมแม่น้ำเจ้าพระยา</t>
        </is>
      </c>
      <c r="E167" s="54" t="n">
        <v>13.72632</v>
      </c>
      <c r="F167" s="55" t="n">
        <v>100.51027</v>
      </c>
      <c r="G167" s="56" t="inlineStr">
        <is>
          <t>nightlife</t>
        </is>
      </c>
      <c r="H167" s="51" t="n">
        <v>3</v>
      </c>
      <c r="I167" s="57" t="n">
        <v>4.9</v>
      </c>
      <c r="J167" s="58" t="inlineStr">
        <is>
          <t>11:30-22:00</t>
        </is>
      </c>
      <c r="K167" s="51" t="inlineStr">
        <is>
          <t>11:30-22:00</t>
        </is>
      </c>
      <c r="L167" s="51" t="inlineStr">
        <is>
          <t>11:30-22:00</t>
        </is>
      </c>
      <c r="M167" s="51" t="inlineStr">
        <is>
          <t>11:30-22:00</t>
        </is>
      </c>
      <c r="N167" s="51" t="inlineStr">
        <is>
          <t>11:30-22:00</t>
        </is>
      </c>
      <c r="O167" s="51" t="inlineStr">
        <is>
          <t>11:30-22:00</t>
        </is>
      </c>
      <c r="P167" s="51" t="inlineStr">
        <is>
          <t>11:30-22:00</t>
        </is>
      </c>
      <c r="Q167" s="58" t="n">
        <v>75</v>
      </c>
      <c r="R167" s="59" t="n">
        <v>0</v>
      </c>
      <c r="S167" s="53" t="inlineStr">
        <is>
          <t>ร้านอาหารตะวันตกและบาร์ของกอร์ดอน แรมซีย์ ชั้น 3 ไอคอนสยาม</t>
        </is>
      </c>
      <c r="T167" s="51" t="n"/>
      <c r="U167" s="58" t="inlineStr">
        <is>
          <t>Y</t>
        </is>
      </c>
      <c r="V167" s="53" t="n"/>
      <c r="W167" s="53" t="n"/>
      <c r="X167" s="60" t="inlineStr">
        <is>
          <t>ร้านอาหาร</t>
        </is>
      </c>
      <c r="Y167" s="61" t="inlineStr">
        <is>
          <t>ไอคอนสยาม</t>
        </is>
      </c>
      <c r="Z167" s="62" t="n">
        <v>0.02</v>
      </c>
      <c r="AA167" s="61" t="inlineStr">
        <is>
          <t>Bread Street Kitchen &amp; Bar - ICONSIAM</t>
        </is>
      </c>
      <c r="AB167" s="63" t="n">
        <v>930</v>
      </c>
      <c r="AC167" s="61" t="inlineStr">
        <is>
          <t>ร้านอาหารตะวันตก</t>
        </is>
      </c>
      <c r="AD167" s="61" t="inlineStr">
        <is>
          <t>Google Maps (รายวัน)</t>
        </is>
      </c>
      <c r="AE167" s="61" t="inlineStr">
        <is>
          <t>ทุกวัน 11:30-22:00 (เสาร์)</t>
        </is>
      </c>
      <c r="AF167" s="61" t="inlineStr">
        <is>
          <t>ประมาณการจากประเภทร้าน/ทำเล (ยังไม่ยืนยัน)</t>
        </is>
      </c>
      <c r="AG167" s="63" t="n"/>
      <c r="AH167" s="61" t="inlineStr">
        <is>
          <t>ชั้น 3 ICONSIAM 299 ถ.เจริญนคร คลองต้นไทร</t>
        </is>
      </c>
      <c r="AI167" s="61" t="inlineStr">
        <is>
          <t>+66 92 271 9995</t>
        </is>
      </c>
      <c r="AJ167" s="61" t="inlineStr">
        <is>
          <t>ChIJf5HPKgCZ4jARFwKPTrMCfsw</t>
        </is>
      </c>
      <c r="AK167" s="64" t="inlineStr">
        <is>
          <t>เปิดแผนที่ ↗</t>
        </is>
      </c>
    </row>
    <row r="168" ht="20" customHeight="1">
      <c r="A168" s="50" t="inlineStr">
        <is>
          <t>bangkok-restaurant-tonkatsu-aoki-iconsiam</t>
        </is>
      </c>
      <c r="B168" s="51" t="inlineStr">
        <is>
          <t>restaurant</t>
        </is>
      </c>
      <c r="C168" s="52" t="inlineStr">
        <is>
          <t>Tonkatsu AOKI @ICONSIAM</t>
        </is>
      </c>
      <c r="D168" s="53" t="inlineStr">
        <is>
          <t>ริมแม่น้ำเจ้าพระยา</t>
        </is>
      </c>
      <c r="E168" s="54" t="n">
        <v>13.7264</v>
      </c>
      <c r="F168" s="55" t="n">
        <v>100.51054</v>
      </c>
      <c r="G168" s="56" t="n"/>
      <c r="H168" s="51" t="n">
        <v>2</v>
      </c>
      <c r="I168" s="57" t="n">
        <v>4.7</v>
      </c>
      <c r="J168" s="58" t="inlineStr">
        <is>
          <t>11:00-22:00</t>
        </is>
      </c>
      <c r="K168" s="51" t="inlineStr">
        <is>
          <t>11:00-22:00</t>
        </is>
      </c>
      <c r="L168" s="51" t="inlineStr">
        <is>
          <t>11:00-22:00</t>
        </is>
      </c>
      <c r="M168" s="51" t="inlineStr">
        <is>
          <t>11:00-22:00</t>
        </is>
      </c>
      <c r="N168" s="51" t="inlineStr">
        <is>
          <t>11:00-22:00</t>
        </is>
      </c>
      <c r="O168" s="51" t="inlineStr">
        <is>
          <t>10:00-22:00</t>
        </is>
      </c>
      <c r="P168" s="51" t="inlineStr">
        <is>
          <t>10:00-22:00</t>
        </is>
      </c>
      <c r="Q168" s="58" t="n">
        <v>45</v>
      </c>
      <c r="R168" s="59" t="n">
        <v>0</v>
      </c>
      <c r="S168" s="53" t="inlineStr">
        <is>
          <t>ร้านทงคัตสึ ชั้น 4 ICON EATS ไอคอนสยาม</t>
        </is>
      </c>
      <c r="T168" s="51" t="n"/>
      <c r="U168" s="58" t="inlineStr">
        <is>
          <t>Y</t>
        </is>
      </c>
      <c r="V168" s="53" t="inlineStr">
        <is>
          <t>ไม่มีแท็กที่ตรงประเภทอาหาร (อาหารต่างชาติ)</t>
        </is>
      </c>
      <c r="W168" s="53" t="inlineStr">
        <is>
          <t>เวลาจริงไม่ใช่ "ทุกวัน" ตามตารางเดิม (เดิมเช็กแค่วันเสาร์)</t>
        </is>
      </c>
      <c r="X168" s="60" t="inlineStr">
        <is>
          <t>ร้านอาหาร</t>
        </is>
      </c>
      <c r="Y168" s="61" t="inlineStr">
        <is>
          <t>ไอคอนสยาม</t>
        </is>
      </c>
      <c r="Z168" s="62" t="n">
        <v>0.02</v>
      </c>
      <c r="AA168" s="61" t="inlineStr">
        <is>
          <t>Tonkatsu AOKI @ICONSIAM</t>
        </is>
      </c>
      <c r="AB168" s="63" t="n">
        <v>447</v>
      </c>
      <c r="AC168" s="61" t="inlineStr">
        <is>
          <t>ร้านอาหารญี่ปุ่นสไตล์เกียวโต</t>
        </is>
      </c>
      <c r="AD168" s="61" t="inlineStr">
        <is>
          <t>Google Maps (รายวัน)</t>
        </is>
      </c>
      <c r="AE168" s="61" t="inlineStr">
        <is>
          <t>ทุกวัน 10:00-22:00 (เสาร์)</t>
        </is>
      </c>
      <c r="AF168" s="61" t="inlineStr">
        <is>
          <t>ประมาณการจากประเภทร้าน/ทำเล (ยังไม่ยืนยัน)</t>
        </is>
      </c>
      <c r="AG168" s="63" t="n"/>
      <c r="AH168" s="61" t="inlineStr">
        <is>
          <t>ชั้น 4 ICON EATS ICONSIAM 299 ถ.เจริญนคร</t>
        </is>
      </c>
      <c r="AI168" s="61" t="n"/>
      <c r="AJ168" s="61" t="inlineStr">
        <is>
          <t>ChIJnfb7n3-Z4jARskUzQn4aM7w</t>
        </is>
      </c>
      <c r="AK168" s="64" t="inlineStr">
        <is>
          <t>เปิดแผนที่ ↗</t>
        </is>
      </c>
    </row>
    <row r="169" ht="20" customHeight="1">
      <c r="A169" s="50" t="inlineStr">
        <is>
          <t>bangkok-restaurant-bacha-coffee-iconsiam</t>
        </is>
      </c>
      <c r="B169" s="51" t="inlineStr">
        <is>
          <t>restaurant</t>
        </is>
      </c>
      <c r="C169" s="52" t="inlineStr">
        <is>
          <t>Bacha Coffee ICONSIAM</t>
        </is>
      </c>
      <c r="D169" s="53" t="inlineStr">
        <is>
          <t>ริมแม่น้ำเจ้าพระยา</t>
        </is>
      </c>
      <c r="E169" s="54" t="n">
        <v>13.7267</v>
      </c>
      <c r="F169" s="55" t="n">
        <v>100.51086</v>
      </c>
      <c r="G169" s="56" t="inlineStr">
        <is>
          <t>cafe</t>
        </is>
      </c>
      <c r="H169" s="51" t="n">
        <v>3</v>
      </c>
      <c r="I169" s="57" t="n">
        <v>4.9</v>
      </c>
      <c r="J169" s="58" t="inlineStr">
        <is>
          <t>10:00-22:00</t>
        </is>
      </c>
      <c r="K169" s="51" t="inlineStr">
        <is>
          <t>10:00-22:00</t>
        </is>
      </c>
      <c r="L169" s="51" t="inlineStr">
        <is>
          <t>10:00-22:00</t>
        </is>
      </c>
      <c r="M169" s="51" t="inlineStr">
        <is>
          <t>10:00-22:00</t>
        </is>
      </c>
      <c r="N169" s="51" t="inlineStr">
        <is>
          <t>10:00-22:00</t>
        </is>
      </c>
      <c r="O169" s="51" t="inlineStr">
        <is>
          <t>10:00-22:00</t>
        </is>
      </c>
      <c r="P169" s="51" t="inlineStr">
        <is>
          <t>10:00-22:00</t>
        </is>
      </c>
      <c r="Q169" s="58" t="n">
        <v>30</v>
      </c>
      <c r="R169" s="59" t="n">
        <v>0</v>
      </c>
      <c r="S169" s="53" t="inlineStr">
        <is>
          <t>ร้านกาแฟ Bacha Coffee สาขาไอคอนสยาม</t>
        </is>
      </c>
      <c r="T169" s="51" t="n"/>
      <c r="U169" s="58" t="inlineStr">
        <is>
          <t>N</t>
        </is>
      </c>
      <c r="V169" s="53" t="n"/>
      <c r="W169" s="53" t="n"/>
      <c r="X169" s="60" t="inlineStr">
        <is>
          <t>ร้านเครื่องดื่ม</t>
        </is>
      </c>
      <c r="Y169" s="61" t="inlineStr">
        <is>
          <t>ไอคอนสยาม</t>
        </is>
      </c>
      <c r="Z169" s="62" t="n">
        <v>0.07000000000000001</v>
      </c>
      <c r="AA169" s="61" t="inlineStr">
        <is>
          <t>Bacha Coffee ICONSIAM</t>
        </is>
      </c>
      <c r="AB169" s="63" t="n">
        <v>60</v>
      </c>
      <c r="AC169" s="61" t="inlineStr">
        <is>
          <t>ร้านกาแฟ</t>
        </is>
      </c>
      <c r="AD169" s="61" t="inlineStr">
        <is>
          <t>Google Maps (รายวัน)</t>
        </is>
      </c>
      <c r="AE169" s="61" t="inlineStr">
        <is>
          <t>ทุกวัน 10:00-22:00 (เสาร์)</t>
        </is>
      </c>
      <c r="AF169" s="61" t="inlineStr">
        <is>
          <t>ประมาณการจากประเภทร้าน/ทำเล (ยังไม่ยืนยัน)</t>
        </is>
      </c>
      <c r="AG169" s="63" t="n"/>
      <c r="AH169" s="61" t="inlineStr">
        <is>
          <t>ชั้น G ห้อง LG04/1 ICONSIAM 299 ถ.เจริญนคร</t>
        </is>
      </c>
      <c r="AI169" s="61" t="inlineStr">
        <is>
          <t>+66 95 716 9998</t>
        </is>
      </c>
      <c r="AJ169" s="61" t="inlineStr">
        <is>
          <t>ChIJfQiAmQuZ4jARG4upB3CnuHs</t>
        </is>
      </c>
      <c r="AK169" s="64" t="inlineStr">
        <is>
          <t>เปิดแผนที่ ↗</t>
        </is>
      </c>
    </row>
    <row r="170" ht="20" customHeight="1">
      <c r="A170" s="50" t="inlineStr">
        <is>
          <t>bangkok-restaurant-beans-coffee-roaster-iconsiam</t>
        </is>
      </c>
      <c r="B170" s="51" t="inlineStr">
        <is>
          <t>restaurant</t>
        </is>
      </c>
      <c r="C170" s="52" t="inlineStr">
        <is>
          <t>BEANS Coffee Roaster Iconsiam</t>
        </is>
      </c>
      <c r="D170" s="53" t="inlineStr">
        <is>
          <t>ริมแม่น้ำเจ้าพระยา</t>
        </is>
      </c>
      <c r="E170" s="54" t="n">
        <v>13.72649</v>
      </c>
      <c r="F170" s="55" t="n">
        <v>100.51107</v>
      </c>
      <c r="G170" s="56" t="inlineStr">
        <is>
          <t>cafe</t>
        </is>
      </c>
      <c r="H170" s="51" t="n">
        <v>2</v>
      </c>
      <c r="I170" s="57" t="n">
        <v>5</v>
      </c>
      <c r="J170" s="58" t="inlineStr">
        <is>
          <t>10:00-21:00</t>
        </is>
      </c>
      <c r="K170" s="51" t="inlineStr">
        <is>
          <t>10:00-21:00</t>
        </is>
      </c>
      <c r="L170" s="51" t="inlineStr">
        <is>
          <t>10:00-21:00</t>
        </is>
      </c>
      <c r="M170" s="51" t="inlineStr">
        <is>
          <t>10:00-21:00</t>
        </is>
      </c>
      <c r="N170" s="51" t="inlineStr">
        <is>
          <t>10:00-21:00</t>
        </is>
      </c>
      <c r="O170" s="51" t="inlineStr">
        <is>
          <t>10:00-21:00</t>
        </is>
      </c>
      <c r="P170" s="51" t="inlineStr">
        <is>
          <t>10:00-21:00</t>
        </is>
      </c>
      <c r="Q170" s="58" t="n">
        <v>30</v>
      </c>
      <c r="R170" s="59" t="n">
        <v>0</v>
      </c>
      <c r="S170" s="53" t="inlineStr">
        <is>
          <t>ร้านกาแฟคั่วเอง ชั้น G โซนเวอรันดา ไอคอนสยาม</t>
        </is>
      </c>
      <c r="T170" s="51" t="n"/>
      <c r="U170" s="58" t="inlineStr">
        <is>
          <t>N</t>
        </is>
      </c>
      <c r="V170" s="53" t="n"/>
      <c r="W170" s="53" t="n"/>
      <c r="X170" s="60" t="inlineStr">
        <is>
          <t>ร้านเครื่องดื่ม</t>
        </is>
      </c>
      <c r="Y170" s="61" t="inlineStr">
        <is>
          <t>ไอคอนสยาม</t>
        </is>
      </c>
      <c r="Z170" s="62" t="n">
        <v>0.07000000000000001</v>
      </c>
      <c r="AA170" s="61" t="inlineStr">
        <is>
          <t>BEANS Coffee Roaster Iconsiam</t>
        </is>
      </c>
      <c r="AB170" s="63" t="n">
        <v>482</v>
      </c>
      <c r="AC170" s="61" t="inlineStr">
        <is>
          <t>ร้านกาแฟ</t>
        </is>
      </c>
      <c r="AD170" s="61" t="inlineStr">
        <is>
          <t>Google Maps (รายวัน)</t>
        </is>
      </c>
      <c r="AE170" s="61" t="inlineStr">
        <is>
          <t>ทุกวัน 10:00-21:00 (เสาร์)</t>
        </is>
      </c>
      <c r="AF170" s="61" t="inlineStr">
        <is>
          <t>ประมาณการจากประเภทร้าน/ทำเล (ยังไม่ยืนยัน)</t>
        </is>
      </c>
      <c r="AG170" s="63" t="n"/>
      <c r="AH170" s="61" t="inlineStr">
        <is>
          <t>ชั้น G โซน Veranda ICONSIAM</t>
        </is>
      </c>
      <c r="AI170" s="61" t="n"/>
      <c r="AJ170" s="61" t="inlineStr">
        <is>
          <t>ChIJr9e7GwCZ4jARW8RMPkC8O_8</t>
        </is>
      </c>
      <c r="AK170" s="64" t="inlineStr">
        <is>
          <t>เปิดแผนที่ ↗</t>
        </is>
      </c>
    </row>
    <row r="171" ht="20" customHeight="1">
      <c r="A171" s="50" t="inlineStr">
        <is>
          <t>bangkok-restaurant-super-matcha-iconsiam</t>
        </is>
      </c>
      <c r="B171" s="51" t="inlineStr">
        <is>
          <t>restaurant</t>
        </is>
      </c>
      <c r="C171" s="52" t="inlineStr">
        <is>
          <t>SUPER MATCHA, ICONSIAM</t>
        </is>
      </c>
      <c r="D171" s="53" t="inlineStr">
        <is>
          <t>ริมแม่น้ำเจ้าพระยา</t>
        </is>
      </c>
      <c r="E171" s="54" t="n">
        <v>13.72604</v>
      </c>
      <c r="F171" s="55" t="n">
        <v>100.51105</v>
      </c>
      <c r="G171" s="56" t="inlineStr">
        <is>
          <t>cafe</t>
        </is>
      </c>
      <c r="H171" s="51" t="n">
        <v>2</v>
      </c>
      <c r="I171" s="57" t="n">
        <v>4.6</v>
      </c>
      <c r="J171" s="58" t="inlineStr">
        <is>
          <t>10:00-22:00</t>
        </is>
      </c>
      <c r="K171" s="51" t="inlineStr">
        <is>
          <t>10:00-22:00</t>
        </is>
      </c>
      <c r="L171" s="51" t="inlineStr">
        <is>
          <t>10:00-22:00</t>
        </is>
      </c>
      <c r="M171" s="51" t="inlineStr">
        <is>
          <t>10:00-22:00</t>
        </is>
      </c>
      <c r="N171" s="51" t="inlineStr">
        <is>
          <t>10:00-22:00</t>
        </is>
      </c>
      <c r="O171" s="51" t="inlineStr">
        <is>
          <t>10:00-22:00</t>
        </is>
      </c>
      <c r="P171" s="51" t="inlineStr">
        <is>
          <t>10:00-22:00</t>
        </is>
      </c>
      <c r="Q171" s="58" t="n">
        <v>20</v>
      </c>
      <c r="R171" s="59" t="n">
        <v>0</v>
      </c>
      <c r="S171" s="53" t="inlineStr">
        <is>
          <t>ร้านเครื่องดื่มมัทฉะ ไอคอนสยาม</t>
        </is>
      </c>
      <c r="T171" s="51" t="n"/>
      <c r="U171" s="58" t="inlineStr">
        <is>
          <t>N</t>
        </is>
      </c>
      <c r="V171" s="53" t="n"/>
      <c r="W171" s="53" t="n"/>
      <c r="X171" s="60" t="inlineStr">
        <is>
          <t>ร้านเครื่องดื่ม</t>
        </is>
      </c>
      <c r="Y171" s="61" t="inlineStr">
        <is>
          <t>ไอคอนสยาม</t>
        </is>
      </c>
      <c r="Z171" s="62" t="n">
        <v>0.07000000000000001</v>
      </c>
      <c r="AA171" s="61" t="inlineStr">
        <is>
          <t>SUPER MATCHA, ICONSIAM</t>
        </is>
      </c>
      <c r="AB171" s="63" t="n">
        <v>179</v>
      </c>
      <c r="AC171" s="61" t="inlineStr">
        <is>
          <t>ร้านกาแฟ</t>
        </is>
      </c>
      <c r="AD171" s="61" t="inlineStr">
        <is>
          <t>Google Maps (รายวัน)</t>
        </is>
      </c>
      <c r="AE171" s="61" t="inlineStr">
        <is>
          <t>ทุกวัน 10:00-22:00 (เสาร์)</t>
        </is>
      </c>
      <c r="AF171" s="61" t="inlineStr">
        <is>
          <t>ประมาณการจากประเภทร้าน/ทำเล (ยังไม่ยืนยัน)</t>
        </is>
      </c>
      <c r="AG171" s="63" t="n"/>
      <c r="AH171" s="61" t="inlineStr">
        <is>
          <t>299 ถ.เจริญนคร ซ.เจริญนคร 5 คลองต้นไทร</t>
        </is>
      </c>
      <c r="AI171" s="61" t="n"/>
      <c r="AJ171" s="61" t="inlineStr">
        <is>
          <t>ChIJWbSr14OZ4jARWFStrxn_4vk</t>
        </is>
      </c>
      <c r="AK171" s="64" t="inlineStr">
        <is>
          <t>เปิดแผนที่ ↗</t>
        </is>
      </c>
    </row>
    <row r="172" ht="20" customHeight="1">
      <c r="A172" s="50" t="inlineStr">
        <is>
          <t>bangkok-restaurant-pang-cha-iconsiam</t>
        </is>
      </c>
      <c r="B172" s="51" t="inlineStr">
        <is>
          <t>restaurant</t>
        </is>
      </c>
      <c r="C172" s="52" t="inlineStr">
        <is>
          <t>Pang Cha (ICONSIAM)</t>
        </is>
      </c>
      <c r="D172" s="53" t="inlineStr">
        <is>
          <t>ริมแม่น้ำเจ้าพระยา</t>
        </is>
      </c>
      <c r="E172" s="54" t="n">
        <v>13.72683</v>
      </c>
      <c r="F172" s="55" t="n">
        <v>100.5107</v>
      </c>
      <c r="G172" s="56" t="inlineStr">
        <is>
          <t>cafe,localFood</t>
        </is>
      </c>
      <c r="H172" s="51" t="n">
        <v>2</v>
      </c>
      <c r="I172" s="57" t="n">
        <v>4.3</v>
      </c>
      <c r="J172" s="58" t="inlineStr">
        <is>
          <t>10:00-22:00</t>
        </is>
      </c>
      <c r="K172" s="51" t="inlineStr">
        <is>
          <t>10:00-22:00</t>
        </is>
      </c>
      <c r="L172" s="51" t="inlineStr">
        <is>
          <t>10:00-22:00</t>
        </is>
      </c>
      <c r="M172" s="51" t="inlineStr">
        <is>
          <t>10:00-22:00</t>
        </is>
      </c>
      <c r="N172" s="51" t="inlineStr">
        <is>
          <t>10:00-22:00</t>
        </is>
      </c>
      <c r="O172" s="51" t="inlineStr">
        <is>
          <t>10:00-22:00</t>
        </is>
      </c>
      <c r="P172" s="51" t="inlineStr">
        <is>
          <t>10:00-22:00</t>
        </is>
      </c>
      <c r="Q172" s="58" t="n">
        <v>30</v>
      </c>
      <c r="R172" s="59" t="n">
        <v>0</v>
      </c>
      <c r="S172" s="53" t="inlineStr">
        <is>
          <t>ร้านบิงซูชาไทย ปังชา สาขาไอคอนสยาม</t>
        </is>
      </c>
      <c r="T172" s="51" t="n"/>
      <c r="U172" s="58" t="inlineStr">
        <is>
          <t>N</t>
        </is>
      </c>
      <c r="V172" s="53" t="n"/>
      <c r="W172" s="53" t="n"/>
      <c r="X172" s="60" t="inlineStr">
        <is>
          <t>ร้านของหวาน</t>
        </is>
      </c>
      <c r="Y172" s="61" t="inlineStr">
        <is>
          <t>ไอคอนสยาม</t>
        </is>
      </c>
      <c r="Z172" s="62" t="n">
        <v>0.07000000000000001</v>
      </c>
      <c r="AA172" s="61" t="inlineStr">
        <is>
          <t>ปังชา</t>
        </is>
      </c>
      <c r="AB172" s="63" t="n">
        <v>1494</v>
      </c>
      <c r="AC172" s="61" t="inlineStr">
        <is>
          <t>ร้านขนมหวาน</t>
        </is>
      </c>
      <c r="AD172" s="61" t="inlineStr">
        <is>
          <t>Google Maps (รายวัน)</t>
        </is>
      </c>
      <c r="AE172" s="61" t="inlineStr">
        <is>
          <t>ทุกวัน 10:00-22:00 (เสาร์)</t>
        </is>
      </c>
      <c r="AF172" s="61" t="inlineStr">
        <is>
          <t>ประมาณการจากประเภทร้าน/ทำเล (ยังไม่ยืนยัน)</t>
        </is>
      </c>
      <c r="AG172" s="63" t="n"/>
      <c r="AH172" s="61" t="inlineStr">
        <is>
          <t>ชั้น G ICONSIAM 299 ซ.เจริญนคร 5</t>
        </is>
      </c>
      <c r="AI172" s="61" t="inlineStr">
        <is>
          <t>+66 2 288 0729</t>
        </is>
      </c>
      <c r="AJ172" s="61" t="inlineStr">
        <is>
          <t>ChIJS5fE3mSZ4jARvDuAQM91lJ4</t>
        </is>
      </c>
      <c r="AK172" s="64" t="inlineStr">
        <is>
          <t>เปิดแผนที่ ↗</t>
        </is>
      </c>
    </row>
    <row r="173" ht="20" customHeight="1">
      <c r="A173" s="50" t="inlineStr">
        <is>
          <t>bangkok-restaurant-blendies-iconsiam</t>
        </is>
      </c>
      <c r="B173" s="51" t="inlineStr">
        <is>
          <t>restaurant</t>
        </is>
      </c>
      <c r="C173" s="52" t="inlineStr">
        <is>
          <t>Blendies ICONSIAM</t>
        </is>
      </c>
      <c r="D173" s="53" t="inlineStr">
        <is>
          <t>ริมแม่น้ำเจ้าพระยา</t>
        </is>
      </c>
      <c r="E173" s="54" t="n">
        <v>13.72682</v>
      </c>
      <c r="F173" s="55" t="n">
        <v>100.51093</v>
      </c>
      <c r="G173" s="56" t="inlineStr">
        <is>
          <t>cafe</t>
        </is>
      </c>
      <c r="H173" s="51" t="n">
        <v>2</v>
      </c>
      <c r="I173" s="57" t="n">
        <v>4</v>
      </c>
      <c r="J173" s="58" t="inlineStr">
        <is>
          <t>10:00-22:00</t>
        </is>
      </c>
      <c r="K173" s="51" t="inlineStr">
        <is>
          <t>10:00-22:00</t>
        </is>
      </c>
      <c r="L173" s="51" t="inlineStr">
        <is>
          <t>10:00-22:00</t>
        </is>
      </c>
      <c r="M173" s="51" t="inlineStr">
        <is>
          <t>10:00-22:00</t>
        </is>
      </c>
      <c r="N173" s="51" t="inlineStr">
        <is>
          <t>10:00-22:00</t>
        </is>
      </c>
      <c r="O173" s="51" t="inlineStr">
        <is>
          <t>10:00-22:00</t>
        </is>
      </c>
      <c r="P173" s="51" t="inlineStr">
        <is>
          <t>10:00-22:00</t>
        </is>
      </c>
      <c r="Q173" s="58" t="n">
        <v>20</v>
      </c>
      <c r="R173" s="59" t="n">
        <v>0</v>
      </c>
      <c r="S173" s="53" t="inlineStr">
        <is>
          <t>ร้านไอศกรีม ไอคอนสยาม</t>
        </is>
      </c>
      <c r="T173" s="51" t="n"/>
      <c r="U173" s="58" t="inlineStr">
        <is>
          <t>N</t>
        </is>
      </c>
      <c r="V173" s="53" t="n"/>
      <c r="W173" s="53" t="n"/>
      <c r="X173" s="60" t="inlineStr">
        <is>
          <t>ร้านของหวาน</t>
        </is>
      </c>
      <c r="Y173" s="61" t="inlineStr">
        <is>
          <t>ไอคอนสยาม</t>
        </is>
      </c>
      <c r="Z173" s="62" t="n">
        <v>0.08</v>
      </c>
      <c r="AA173" s="61" t="inlineStr">
        <is>
          <t>Blendies ICONSIAM</t>
        </is>
      </c>
      <c r="AB173" s="63" t="n">
        <v>146</v>
      </c>
      <c r="AC173" s="61" t="inlineStr">
        <is>
          <t>ร้านไอศกรีม</t>
        </is>
      </c>
      <c r="AD173" s="61" t="inlineStr">
        <is>
          <t>Google Maps (รายวัน)</t>
        </is>
      </c>
      <c r="AE173" s="61" t="inlineStr">
        <is>
          <t>ทุกวัน 10:00-22:00 (เสาร์)</t>
        </is>
      </c>
      <c r="AF173" s="61" t="inlineStr">
        <is>
          <t>ประมาณการจากประเภทร้าน/ทำเล (ยังไม่ยืนยัน)</t>
        </is>
      </c>
      <c r="AG173" s="63" t="n"/>
      <c r="AH173" s="61" t="inlineStr">
        <is>
          <t>ถ.เจริญนคร คลองต้นไทร</t>
        </is>
      </c>
      <c r="AI173" s="61" t="inlineStr">
        <is>
          <t>+66 93 665 9295</t>
        </is>
      </c>
      <c r="AJ173" s="61" t="inlineStr">
        <is>
          <t>ChIJhw6JOgCZ4jARlH9MIGH7vvc</t>
        </is>
      </c>
      <c r="AK173" s="64" t="inlineStr">
        <is>
          <t>เปิดแผนที่ ↗</t>
        </is>
      </c>
    </row>
    <row r="174" ht="20" customHeight="1">
      <c r="A174" s="50" t="inlineStr">
        <is>
          <t>bangkok-restaurant-chamin-cookies-gelato-iconsiam</t>
        </is>
      </c>
      <c r="B174" s="51" t="inlineStr">
        <is>
          <t>restaurant</t>
        </is>
      </c>
      <c r="C174" s="52" t="inlineStr">
        <is>
          <t>Chamin Cookies &amp; Gelato - ICONSIAM</t>
        </is>
      </c>
      <c r="D174" s="53" t="inlineStr">
        <is>
          <t>ริมแม่น้ำเจ้าพระยา</t>
        </is>
      </c>
      <c r="E174" s="54" t="n">
        <v>13.72622</v>
      </c>
      <c r="F174" s="55" t="n">
        <v>100.51063</v>
      </c>
      <c r="G174" s="56" t="inlineStr">
        <is>
          <t>cafe</t>
        </is>
      </c>
      <c r="H174" s="51" t="n">
        <v>2</v>
      </c>
      <c r="I174" s="57" t="n">
        <v>5</v>
      </c>
      <c r="J174" s="58" t="inlineStr">
        <is>
          <t>10:00-22:00</t>
        </is>
      </c>
      <c r="K174" s="51" t="inlineStr">
        <is>
          <t>10:00-22:00</t>
        </is>
      </c>
      <c r="L174" s="51" t="inlineStr">
        <is>
          <t>10:00-22:00</t>
        </is>
      </c>
      <c r="M174" s="51" t="inlineStr">
        <is>
          <t>10:00-22:00</t>
        </is>
      </c>
      <c r="N174" s="51" t="inlineStr">
        <is>
          <t>10:00-22:00</t>
        </is>
      </c>
      <c r="O174" s="51" t="inlineStr">
        <is>
          <t>10:00-22:00</t>
        </is>
      </c>
      <c r="P174" s="51" t="inlineStr">
        <is>
          <t>10:00-22:00</t>
        </is>
      </c>
      <c r="Q174" s="58" t="n">
        <v>20</v>
      </c>
      <c r="R174" s="59" t="n">
        <v>0</v>
      </c>
      <c r="S174" s="53" t="inlineStr">
        <is>
          <t>ร้านคุกกี้และเจลาโต้ ชั้น 6 ไอคอนสยาม</t>
        </is>
      </c>
      <c r="T174" s="51" t="n"/>
      <c r="U174" s="58" t="inlineStr">
        <is>
          <t>N</t>
        </is>
      </c>
      <c r="V174" s="53" t="n"/>
      <c r="W174" s="53" t="n"/>
      <c r="X174" s="60" t="inlineStr">
        <is>
          <t>ร้านของหวาน</t>
        </is>
      </c>
      <c r="Y174" s="61" t="inlineStr">
        <is>
          <t>ไอคอนสยาม</t>
        </is>
      </c>
      <c r="Z174" s="62" t="n">
        <v>0.02</v>
      </c>
      <c r="AA174" s="61" t="inlineStr">
        <is>
          <t>Chamin Cookies &amp; Gelato - ICONSIAM</t>
        </is>
      </c>
      <c r="AB174" s="63" t="n">
        <v>28</v>
      </c>
      <c r="AC174" s="61" t="inlineStr">
        <is>
          <t>ร้านคุกกี้, ร้านเบเกอรี่, ร้านเค้ก, ร้านของหวาน, ร้านไอศกรีม, ร้านขนมญี่ปุ่น, ร้านขายน้ำ, ร้านขายขนมปัง, เบเกอรี่งานแต่งงาน, ร้านเบเกอรี่ขายส่ง</t>
        </is>
      </c>
      <c r="AD174" s="61" t="inlineStr">
        <is>
          <t>Google Maps (รายวัน)</t>
        </is>
      </c>
      <c r="AE174" s="61" t="inlineStr">
        <is>
          <t>ทุกวัน 10:00-22:00 (เสาร์)</t>
        </is>
      </c>
      <c r="AF174" s="61" t="inlineStr">
        <is>
          <t>ประมาณการจากประเภทร้าน/ทำเล (ยังไม่ยืนยัน)</t>
        </is>
      </c>
      <c r="AG174" s="63" t="n"/>
      <c r="AH174" s="61" t="inlineStr">
        <is>
          <t>ชั้น 6 ICONSIAM 299 ถ.เจริญนคร</t>
        </is>
      </c>
      <c r="AI174" s="61" t="inlineStr">
        <is>
          <t>+66 63 240 7425</t>
        </is>
      </c>
      <c r="AJ174" s="61" t="inlineStr">
        <is>
          <t>ChIJ8UUwugyZ4jARGNjrh6ZjoPo</t>
        </is>
      </c>
      <c r="AK174" s="64" t="inlineStr">
        <is>
          <t>เปิดแผนที่ ↗</t>
        </is>
      </c>
    </row>
    <row r="175" ht="20" customHeight="1">
      <c r="A175" s="50" t="inlineStr">
        <is>
          <t>bangkok-restaurant-sam-wela-suan-siam-11</t>
        </is>
      </c>
      <c r="B175" s="51" t="inlineStr">
        <is>
          <t>restaurant</t>
        </is>
      </c>
      <c r="C175" s="52" t="inlineStr">
        <is>
          <t>สามเวลา สวนสยาม ซอย 11</t>
        </is>
      </c>
      <c r="D175" s="53" t="inlineStr">
        <is>
          <t>คันนายาว</t>
        </is>
      </c>
      <c r="E175" s="54" t="n">
        <v>13.8004898</v>
      </c>
      <c r="F175" s="55" t="n">
        <v>100.690777</v>
      </c>
      <c r="G175" s="56" t="inlineStr">
        <is>
          <t>localFood</t>
        </is>
      </c>
      <c r="H175" s="51" t="n">
        <v>1</v>
      </c>
      <c r="I175" s="57" t="n">
        <v>5</v>
      </c>
      <c r="J175" s="58" t="inlineStr">
        <is>
          <t>10:30-19:00</t>
        </is>
      </c>
      <c r="K175" s="51" t="inlineStr">
        <is>
          <t>10:30-19:00</t>
        </is>
      </c>
      <c r="L175" s="51" t="inlineStr">
        <is>
          <t>10:30-19:00</t>
        </is>
      </c>
      <c r="M175" s="51" t="inlineStr">
        <is>
          <t>10:30-19:00</t>
        </is>
      </c>
      <c r="N175" s="51" t="inlineStr">
        <is>
          <t>10:30-19:00</t>
        </is>
      </c>
      <c r="O175" s="51" t="inlineStr">
        <is>
          <t>10:30-19:00</t>
        </is>
      </c>
      <c r="P175" s="51" t="inlineStr">
        <is>
          <t>10:30-19:00</t>
        </is>
      </c>
      <c r="Q175" s="58" t="n">
        <v>45</v>
      </c>
      <c r="R175" s="59" t="n">
        <v>0</v>
      </c>
      <c r="S175" s="53" t="inlineStr">
        <is>
          <t>ร้านอาหารไทย ซอยสวนสยาม 11 ใกล้สวนสยาม</t>
        </is>
      </c>
      <c r="T175" s="51" t="n"/>
      <c r="U175" s="58" t="inlineStr">
        <is>
          <t>Y</t>
        </is>
      </c>
      <c r="V175" s="53" t="n"/>
      <c r="W175" s="53" t="n"/>
      <c r="X175" s="60" t="inlineStr">
        <is>
          <t>ร้านอาหาร</t>
        </is>
      </c>
      <c r="Y175" s="61" t="inlineStr">
        <is>
          <t>สวนสยาม (Siam Amazing Park)</t>
        </is>
      </c>
      <c r="Z175" s="62" t="n">
        <v>0.67</v>
      </c>
      <c r="AA175" s="61" t="inlineStr">
        <is>
          <t>สามเวลา สวนสยาม ซอย 11</t>
        </is>
      </c>
      <c r="AB175" s="63" t="n">
        <v>70</v>
      </c>
      <c r="AC175" s="61" t="inlineStr">
        <is>
          <t>ภัตตาคารอาหารไทย</t>
        </is>
      </c>
      <c r="AD175" s="61" t="inlineStr">
        <is>
          <t>Google Maps (รายวัน)</t>
        </is>
      </c>
      <c r="AE175" s="61" t="inlineStr">
        <is>
          <t>ทุกวัน 10:30-19:00</t>
        </is>
      </c>
      <c r="AF175" s="61" t="inlineStr">
        <is>
          <t>ประมาณการจากประเภทร้าน/ทำเล (ยังไม่ยืนยัน)</t>
        </is>
      </c>
      <c r="AG175" s="63" t="n"/>
      <c r="AH175" s="61" t="inlineStr">
        <is>
          <t>219 ซ.สวนสยาม 11 คันนายาว</t>
        </is>
      </c>
      <c r="AI175" s="61" t="n"/>
      <c r="AJ175" s="61" t="inlineStr">
        <is>
          <t>ChIJE9uBwv1jHTER8_5buwDwWHs</t>
        </is>
      </c>
      <c r="AK175" s="64" t="inlineStr">
        <is>
          <t>เปิดแผนที่ ↗</t>
        </is>
      </c>
    </row>
    <row r="176" ht="20" customHeight="1">
      <c r="A176" s="50" t="inlineStr">
        <is>
          <t>bangkok-restaurant-isan-baan-hao-larb-ubon</t>
        </is>
      </c>
      <c r="B176" s="51" t="inlineStr">
        <is>
          <t>restaurant</t>
        </is>
      </c>
      <c r="C176" s="52" t="inlineStr">
        <is>
          <t>อีสานบ้านเฮา ร้านลาบอุบล ตลาดสวนสยาม</t>
        </is>
      </c>
      <c r="D176" s="53" t="inlineStr">
        <is>
          <t>คันนายาว</t>
        </is>
      </c>
      <c r="E176" s="54" t="n">
        <v>13.8085449</v>
      </c>
      <c r="F176" s="55" t="n">
        <v>100.6902939</v>
      </c>
      <c r="G176" s="56" t="inlineStr">
        <is>
          <t>localFood</t>
        </is>
      </c>
      <c r="H176" s="51" t="n">
        <v>1</v>
      </c>
      <c r="I176" s="57" t="n">
        <v>4.6</v>
      </c>
      <c r="J176" s="58" t="inlineStr">
        <is>
          <t>11:00-26:00</t>
        </is>
      </c>
      <c r="K176" s="51" t="inlineStr">
        <is>
          <t>11:00-26:00</t>
        </is>
      </c>
      <c r="L176" s="51" t="inlineStr">
        <is>
          <t>11:00-26:00</t>
        </is>
      </c>
      <c r="M176" s="51" t="inlineStr">
        <is>
          <t>11:00-26:00</t>
        </is>
      </c>
      <c r="N176" s="51" t="inlineStr">
        <is>
          <t>11:00-26:00</t>
        </is>
      </c>
      <c r="O176" s="51" t="inlineStr">
        <is>
          <t>11:00-26:00</t>
        </is>
      </c>
      <c r="P176" s="51" t="inlineStr">
        <is>
          <t>11:00-26:00</t>
        </is>
      </c>
      <c r="Q176" s="58" t="n">
        <v>45</v>
      </c>
      <c r="R176" s="59" t="n">
        <v>0</v>
      </c>
      <c r="S176" s="53" t="inlineStr">
        <is>
          <t>ร้านลาบและอาหารอีสาน ตลาดสวนสยาม</t>
        </is>
      </c>
      <c r="T176" s="51" t="n"/>
      <c r="U176" s="58" t="inlineStr">
        <is>
          <t>Y</t>
        </is>
      </c>
      <c r="V176" s="53" t="n"/>
      <c r="W176" s="53" t="inlineStr">
        <is>
          <t>ปิดหลังเที่ยงคืน เขียนเวลาปิดเกิน 24:00 ตามรูปแบบ ClockTime</t>
        </is>
      </c>
      <c r="X176" s="60" t="inlineStr">
        <is>
          <t>ร้านอาหาร</t>
        </is>
      </c>
      <c r="Y176" s="61" t="inlineStr">
        <is>
          <t>สวนสยาม (Siam Amazing Park)</t>
        </is>
      </c>
      <c r="Z176" s="62" t="n">
        <v>0.35</v>
      </c>
      <c r="AA176" s="61" t="inlineStr">
        <is>
          <t>อีสานบ้านเฮา ร้านลาบอุบล ตลาดสวนสยาม</t>
        </is>
      </c>
      <c r="AB176" s="63" t="n">
        <v>36</v>
      </c>
      <c r="AC176" s="61" t="inlineStr">
        <is>
          <t>ภัตตาคารอาหารไทย</t>
        </is>
      </c>
      <c r="AD176" s="61" t="inlineStr">
        <is>
          <t>Google Maps (รายวัน)</t>
        </is>
      </c>
      <c r="AE176" s="61" t="inlineStr">
        <is>
          <t>ทุกวัน 11:00-02:00</t>
        </is>
      </c>
      <c r="AF176" s="61" t="inlineStr">
        <is>
          <t>ประมาณการจากประเภทร้าน/ทำเล (ยังไม่ยืนยัน)</t>
        </is>
      </c>
      <c r="AG176" s="63" t="n"/>
      <c r="AH176" s="61" t="inlineStr">
        <is>
          <t>202 ถ.สวนสยาม คันนายาว</t>
        </is>
      </c>
      <c r="AI176" s="61" t="inlineStr">
        <is>
          <t>+66 63 718 6886</t>
        </is>
      </c>
      <c r="AJ176" s="61" t="inlineStr">
        <is>
          <t>ChIJ_-2l4DVjHTERLl5lhoRTCpI</t>
        </is>
      </c>
      <c r="AK176" s="64" t="inlineStr">
        <is>
          <t>เปิดแผนที่ ↗</t>
        </is>
      </c>
    </row>
    <row r="177" ht="20" customHeight="1">
      <c r="A177" s="50" t="inlineStr">
        <is>
          <t>bangkok-restaurant-khao-tom-baht-diew</t>
        </is>
      </c>
      <c r="B177" s="51" t="inlineStr">
        <is>
          <t>restaurant</t>
        </is>
      </c>
      <c r="C177" s="52" t="inlineStr">
        <is>
          <t>ข้าวต้มบาทเดียว</t>
        </is>
      </c>
      <c r="D177" s="53" t="inlineStr">
        <is>
          <t>คันนายาว</t>
        </is>
      </c>
      <c r="E177" s="54" t="n">
        <v>13.8023957</v>
      </c>
      <c r="F177" s="55" t="n">
        <v>100.690894</v>
      </c>
      <c r="G177" s="56" t="inlineStr">
        <is>
          <t>localFood</t>
        </is>
      </c>
      <c r="H177" s="51" t="n">
        <v>1</v>
      </c>
      <c r="I177" s="57" t="n">
        <v>4.2</v>
      </c>
      <c r="J177" s="58" t="inlineStr">
        <is>
          <t>14:30-23:30</t>
        </is>
      </c>
      <c r="K177" s="51" t="inlineStr">
        <is>
          <t>14:30-23:30</t>
        </is>
      </c>
      <c r="L177" s="51" t="inlineStr">
        <is>
          <t>14:30-23:30</t>
        </is>
      </c>
      <c r="M177" s="51" t="inlineStr">
        <is>
          <t>14:30-23:30</t>
        </is>
      </c>
      <c r="N177" s="51" t="inlineStr">
        <is>
          <t>14:30-23:30</t>
        </is>
      </c>
      <c r="O177" s="51" t="inlineStr">
        <is>
          <t>14:30-23:30</t>
        </is>
      </c>
      <c r="P177" s="51" t="inlineStr">
        <is>
          <t>14:30-23:30</t>
        </is>
      </c>
      <c r="Q177" s="58" t="n">
        <v>45</v>
      </c>
      <c r="R177" s="59" t="n">
        <v>0</v>
      </c>
      <c r="S177" s="53" t="inlineStr">
        <is>
          <t>ร้านข้าวต้มกับข้าว ถนนสวนสยาม เปิดบ่ายถึงดึก</t>
        </is>
      </c>
      <c r="T177" s="51" t="n"/>
      <c r="U177" s="58" t="inlineStr">
        <is>
          <t>Y</t>
        </is>
      </c>
      <c r="V177" s="53" t="n"/>
      <c r="W177" s="53" t="n"/>
      <c r="X177" s="60" t="inlineStr">
        <is>
          <t>ร้านอาหาร</t>
        </is>
      </c>
      <c r="Y177" s="61" t="inlineStr">
        <is>
          <t>สวนสยาม (Siam Amazing Park)</t>
        </is>
      </c>
      <c r="Z177" s="62" t="n">
        <v>0.47</v>
      </c>
      <c r="AA177" s="61" t="inlineStr">
        <is>
          <t>ข้าวต้มบาทเดียว</t>
        </is>
      </c>
      <c r="AB177" s="63" t="n">
        <v>1022</v>
      </c>
      <c r="AC177" s="61" t="inlineStr">
        <is>
          <t>ร้านข้าวต้ม</t>
        </is>
      </c>
      <c r="AD177" s="61" t="inlineStr">
        <is>
          <t>Google Maps (รายวัน)</t>
        </is>
      </c>
      <c r="AE177" s="61" t="inlineStr">
        <is>
          <t>ทุกวัน 14:30-23:30</t>
        </is>
      </c>
      <c r="AF177" s="61" t="inlineStr">
        <is>
          <t>ประมาณการจากประเภทร้าน/ทำเล (ยังไม่ยืนยัน)</t>
        </is>
      </c>
      <c r="AG177" s="63" t="n"/>
      <c r="AH177" s="61" t="inlineStr">
        <is>
          <t>ถ.สวนสยาม คันนายาว</t>
        </is>
      </c>
      <c r="AI177" s="61" t="inlineStr">
        <is>
          <t>+66 65 093 6323</t>
        </is>
      </c>
      <c r="AJ177" s="61" t="inlineStr">
        <is>
          <t>ChIJHfN-m5ZjHTERV2CZHsShc6Y</t>
        </is>
      </c>
      <c r="AK177" s="64" t="inlineStr">
        <is>
          <t>เปิดแผนที่ ↗</t>
        </is>
      </c>
    </row>
    <row r="178" ht="20" customHeight="1">
      <c r="A178" s="50" t="inlineStr">
        <is>
          <t>bangkok-restaurant-deed-caffe</t>
        </is>
      </c>
      <c r="B178" s="51" t="inlineStr">
        <is>
          <t>restaurant</t>
        </is>
      </c>
      <c r="C178" s="52" t="inlineStr">
        <is>
          <t>deed caffe - Coffee &amp; Roaster</t>
        </is>
      </c>
      <c r="D178" s="53" t="inlineStr">
        <is>
          <t>คันนายาว</t>
        </is>
      </c>
      <c r="E178" s="54" t="n">
        <v>13.8005364</v>
      </c>
      <c r="F178" s="55" t="n">
        <v>100.6912969</v>
      </c>
      <c r="G178" s="56" t="inlineStr">
        <is>
          <t>cafe</t>
        </is>
      </c>
      <c r="H178" s="51" t="n">
        <v>1</v>
      </c>
      <c r="I178" s="57" t="n">
        <v>4.6</v>
      </c>
      <c r="J178" s="58" t="inlineStr">
        <is>
          <t>07:00-17:00</t>
        </is>
      </c>
      <c r="K178" s="51" t="inlineStr">
        <is>
          <t>07:00-17:00</t>
        </is>
      </c>
      <c r="L178" s="51" t="inlineStr">
        <is>
          <t>07:00-17:00</t>
        </is>
      </c>
      <c r="M178" s="51" t="inlineStr">
        <is>
          <t>07:00-17:00</t>
        </is>
      </c>
      <c r="N178" s="51" t="inlineStr">
        <is>
          <t>07:00-17:00</t>
        </is>
      </c>
      <c r="O178" s="51" t="inlineStr">
        <is>
          <t>07:00-17:00</t>
        </is>
      </c>
      <c r="P178" s="51" t="inlineStr">
        <is>
          <t>07:00-17:00</t>
        </is>
      </c>
      <c r="Q178" s="58" t="n">
        <v>30</v>
      </c>
      <c r="R178" s="59" t="n">
        <v>0</v>
      </c>
      <c r="S178" s="53" t="inlineStr">
        <is>
          <t>ร้านกาแฟคั่วเอง ซอยสวนสยาม 11</t>
        </is>
      </c>
      <c r="T178" s="51" t="n"/>
      <c r="U178" s="58" t="inlineStr">
        <is>
          <t>N</t>
        </is>
      </c>
      <c r="V178" s="53" t="n"/>
      <c r="W178" s="53" t="n"/>
      <c r="X178" s="60" t="inlineStr">
        <is>
          <t>ร้านเครื่องดื่ม</t>
        </is>
      </c>
      <c r="Y178" s="61" t="inlineStr">
        <is>
          <t>สวนสยาม (Siam Amazing Park)</t>
        </is>
      </c>
      <c r="Z178" s="62" t="n">
        <v>0.65</v>
      </c>
      <c r="AA178" s="61" t="inlineStr">
        <is>
          <t>Deed caffe</t>
        </is>
      </c>
      <c r="AB178" s="63" t="n">
        <v>408</v>
      </c>
      <c r="AC178" s="61" t="inlineStr">
        <is>
          <t>ร้านกาแฟ</t>
        </is>
      </c>
      <c r="AD178" s="61" t="inlineStr">
        <is>
          <t>Google Maps (รายวัน)</t>
        </is>
      </c>
      <c r="AE178" s="61" t="inlineStr">
        <is>
          <t>ทุกวัน 07:00-17:00</t>
        </is>
      </c>
      <c r="AF178" s="61" t="inlineStr">
        <is>
          <t>ประมาณการจากประเภทร้าน/ทำเล (ยังไม่ยืนยัน)</t>
        </is>
      </c>
      <c r="AG178" s="63" t="n"/>
      <c r="AH178" s="61" t="inlineStr">
        <is>
          <t>8/28 ซ.สวนสยาม 11 แยก 2 คันนายาว</t>
        </is>
      </c>
      <c r="AI178" s="61" t="inlineStr">
        <is>
          <t>+66 88 155 6165</t>
        </is>
      </c>
      <c r="AJ178" s="61" t="inlineStr">
        <is>
          <t>ChIJy8gKBF5jHTERXSlLPo9tn-Y</t>
        </is>
      </c>
      <c r="AK178" s="64" t="inlineStr">
        <is>
          <t>เปิดแผนที่ ↗</t>
        </is>
      </c>
    </row>
    <row r="179" ht="20" customHeight="1">
      <c r="A179" s="50" t="inlineStr">
        <is>
          <t>bangkok-restaurant-cafe-amazon-suan-siam</t>
        </is>
      </c>
      <c r="B179" s="51" t="inlineStr">
        <is>
          <t>restaurant</t>
        </is>
      </c>
      <c r="C179" s="52" t="inlineStr">
        <is>
          <t>Café Amazon สาขาสวนสยาม (SD3967)</t>
        </is>
      </c>
      <c r="D179" s="53" t="inlineStr">
        <is>
          <t>คันนายาว</t>
        </is>
      </c>
      <c r="E179" s="54" t="n">
        <v>13.806765</v>
      </c>
      <c r="F179" s="55" t="n">
        <v>100.6911805</v>
      </c>
      <c r="G179" s="56" t="inlineStr">
        <is>
          <t>cafe</t>
        </is>
      </c>
      <c r="H179" s="51" t="n">
        <v>1</v>
      </c>
      <c r="I179" s="57" t="n">
        <v>4.4</v>
      </c>
      <c r="J179" s="58" t="inlineStr">
        <is>
          <t>06:00-17:00</t>
        </is>
      </c>
      <c r="K179" s="51" t="inlineStr">
        <is>
          <t>06:00-17:00</t>
        </is>
      </c>
      <c r="L179" s="51" t="inlineStr">
        <is>
          <t>06:00-17:00</t>
        </is>
      </c>
      <c r="M179" s="51" t="inlineStr">
        <is>
          <t>06:00-17:00</t>
        </is>
      </c>
      <c r="N179" s="51" t="inlineStr">
        <is>
          <t>06:00-17:00</t>
        </is>
      </c>
      <c r="O179" s="51" t="inlineStr">
        <is>
          <t>06:00-17:00</t>
        </is>
      </c>
      <c r="P179" s="51" t="inlineStr">
        <is>
          <t>06:00-17:00</t>
        </is>
      </c>
      <c r="Q179" s="58" t="n">
        <v>20</v>
      </c>
      <c r="R179" s="59" t="n">
        <v>0</v>
      </c>
      <c r="S179" s="53" t="inlineStr">
        <is>
          <t>ร้านกาแฟคาเฟ่ อเมซอน สาขาสวนสยาม</t>
        </is>
      </c>
      <c r="T179" s="51" t="n"/>
      <c r="U179" s="58" t="inlineStr">
        <is>
          <t>N</t>
        </is>
      </c>
      <c r="V179" s="53" t="n"/>
      <c r="W179" s="53" t="n"/>
      <c r="X179" s="60" t="inlineStr">
        <is>
          <t>ร้านเครื่องดื่ม</t>
        </is>
      </c>
      <c r="Y179" s="61" t="inlineStr">
        <is>
          <t>สวนสยาม (Siam Amazing Park)</t>
        </is>
      </c>
      <c r="Z179" s="62" t="n">
        <v>0.15</v>
      </c>
      <c r="AA179" s="61" t="inlineStr">
        <is>
          <t>Café Amazon สาขาสวนสยาม (SD3967)</t>
        </is>
      </c>
      <c r="AB179" s="63" t="n">
        <v>43</v>
      </c>
      <c r="AC179" s="61" t="inlineStr">
        <is>
          <t>ร้านกาแฟ</t>
        </is>
      </c>
      <c r="AD179" s="61" t="inlineStr">
        <is>
          <t>Google Maps (รายวัน)</t>
        </is>
      </c>
      <c r="AE179" s="61" t="inlineStr">
        <is>
          <t>ทุกวัน 06:00-17:00</t>
        </is>
      </c>
      <c r="AF179" s="61" t="inlineStr">
        <is>
          <t>ประมาณการจากประเภทร้าน/ทำเล (ยังไม่ยืนยัน)</t>
        </is>
      </c>
      <c r="AG179" s="63" t="n"/>
      <c r="AH179" s="61" t="inlineStr">
        <is>
          <t>222 ถ.สวนสยาม คันนายาว</t>
        </is>
      </c>
      <c r="AI179" s="61" t="inlineStr">
        <is>
          <t>+66 92 719 7000</t>
        </is>
      </c>
      <c r="AJ179" s="61" t="inlineStr">
        <is>
          <t>ChIJ8f9UwMFjHTERh5tg75kjz0w</t>
        </is>
      </c>
      <c r="AK179" s="64" t="inlineStr">
        <is>
          <t>เปิดแผนที่ ↗</t>
        </is>
      </c>
    </row>
    <row r="180" ht="20" customHeight="1">
      <c r="A180" s="50" t="inlineStr">
        <is>
          <t>bangkok-restaurant-hob-and-coff</t>
        </is>
      </c>
      <c r="B180" s="51" t="inlineStr">
        <is>
          <t>restaurant</t>
        </is>
      </c>
      <c r="C180" s="52" t="inlineStr">
        <is>
          <t>Hob &amp; Coff cafe and social bar</t>
        </is>
      </c>
      <c r="D180" s="53" t="inlineStr">
        <is>
          <t>คันนายาว</t>
        </is>
      </c>
      <c r="E180" s="54" t="n">
        <v>13.8005661</v>
      </c>
      <c r="F180" s="55" t="n">
        <v>100.6906183</v>
      </c>
      <c r="G180" s="56" t="inlineStr">
        <is>
          <t>cafe,nightlife</t>
        </is>
      </c>
      <c r="H180" s="51" t="n">
        <v>2</v>
      </c>
      <c r="I180" s="57" t="n">
        <v>4.6</v>
      </c>
      <c r="J180" s="58" t="inlineStr">
        <is>
          <t>07:00-18:00</t>
        </is>
      </c>
      <c r="K180" s="51" t="inlineStr">
        <is>
          <t>07:00-18:00</t>
        </is>
      </c>
      <c r="L180" s="51" t="inlineStr">
        <is>
          <t>07:00-18:00</t>
        </is>
      </c>
      <c r="M180" s="51" t="inlineStr">
        <is>
          <t>07:00-18:00</t>
        </is>
      </c>
      <c r="N180" s="51" t="inlineStr">
        <is>
          <t>07:00-18:00</t>
        </is>
      </c>
      <c r="O180" s="51" t="inlineStr">
        <is>
          <t>07:00-18:00</t>
        </is>
      </c>
      <c r="P180" s="51" t="inlineStr">
        <is>
          <t>08:00-18:00</t>
        </is>
      </c>
      <c r="Q180" s="58" t="n">
        <v>45</v>
      </c>
      <c r="R180" s="59" t="n">
        <v>0</v>
      </c>
      <c r="S180" s="53" t="inlineStr">
        <is>
          <t>คาเฟ่และโซเชียลบาร์ ถนนสวนสยาม</t>
        </is>
      </c>
      <c r="T180" s="51" t="n"/>
      <c r="U180" s="58" t="inlineStr">
        <is>
          <t>N</t>
        </is>
      </c>
      <c r="V180" s="53" t="n"/>
      <c r="W180" s="53" t="n"/>
      <c r="X180" s="60" t="inlineStr">
        <is>
          <t>ร้านเครื่องดื่ม</t>
        </is>
      </c>
      <c r="Y180" s="61" t="inlineStr">
        <is>
          <t>สวนสยาม (Siam Amazing Park)</t>
        </is>
      </c>
      <c r="Z180" s="62" t="n">
        <v>0.67</v>
      </c>
      <c r="AA180" s="61" t="inlineStr">
        <is>
          <t>Hob &amp; Coff cafe and social bar</t>
        </is>
      </c>
      <c r="AB180" s="63" t="n">
        <v>140</v>
      </c>
      <c r="AC180" s="61" t="inlineStr">
        <is>
          <t>ร้านกาแฟ</t>
        </is>
      </c>
      <c r="AD180" s="61" t="inlineStr">
        <is>
          <t>Google Maps (รายวัน)</t>
        </is>
      </c>
      <c r="AE180" s="61" t="inlineStr">
        <is>
          <t>จ-ส 07:00-18:00 / อา 08:00-18:00</t>
        </is>
      </c>
      <c r="AF180" s="61" t="inlineStr">
        <is>
          <t>ประมาณการจากประเภทร้าน/ทำเล (ยังไม่ยืนยัน)</t>
        </is>
      </c>
      <c r="AG180" s="63" t="n"/>
      <c r="AH180" s="61" t="inlineStr">
        <is>
          <t>219/112/11 ถ.สวนสยาม คันนายาว</t>
        </is>
      </c>
      <c r="AI180" s="61" t="inlineStr">
        <is>
          <t>+66 95 715 2066</t>
        </is>
      </c>
      <c r="AJ180" s="61" t="inlineStr">
        <is>
          <t>ChIJ1fzWSZRjHTERuT7w-8AlgJ0</t>
        </is>
      </c>
      <c r="AK180" s="64" t="inlineStr">
        <is>
          <t>เปิดแผนที่ ↗</t>
        </is>
      </c>
    </row>
    <row r="181" ht="20" customHeight="1">
      <c r="A181" s="50" t="inlineStr">
        <is>
          <t>bangkok-restaurant-tokyo-jammom</t>
        </is>
      </c>
      <c r="B181" s="51" t="inlineStr">
        <is>
          <t>restaurant</t>
        </is>
      </c>
      <c r="C181" s="52" t="inlineStr">
        <is>
          <t>TOKYO JAMMOM</t>
        </is>
      </c>
      <c r="D181" s="53" t="inlineStr">
        <is>
          <t>คันนายาว</t>
        </is>
      </c>
      <c r="E181" s="54" t="n">
        <v>13.8087534</v>
      </c>
      <c r="F181" s="55" t="n">
        <v>100.6901514</v>
      </c>
      <c r="G181" s="56" t="inlineStr">
        <is>
          <t>cafe</t>
        </is>
      </c>
      <c r="H181" s="51" t="n">
        <v>1</v>
      </c>
      <c r="I181" s="57" t="n">
        <v>5</v>
      </c>
      <c r="J181" s="58" t="inlineStr">
        <is>
          <t>11:30-21:30</t>
        </is>
      </c>
      <c r="K181" s="51" t="inlineStr">
        <is>
          <t>11:30-21:30</t>
        </is>
      </c>
      <c r="L181" s="51" t="inlineStr">
        <is>
          <t>11:30-21:30</t>
        </is>
      </c>
      <c r="M181" s="51" t="inlineStr">
        <is>
          <t>10:30-21:30</t>
        </is>
      </c>
      <c r="N181" s="51" t="inlineStr">
        <is>
          <t>11:30-21:30</t>
        </is>
      </c>
      <c r="O181" s="51" t="inlineStr">
        <is>
          <t>11:30-21:30</t>
        </is>
      </c>
      <c r="P181" s="51" t="inlineStr">
        <is>
          <t>11:30-21:30</t>
        </is>
      </c>
      <c r="Q181" s="58" t="n">
        <v>20</v>
      </c>
      <c r="R181" s="59" t="n">
        <v>0</v>
      </c>
      <c r="S181" s="53" t="inlineStr">
        <is>
          <t>ร้านขนมหวาน ซอยสวนสยาม 16</t>
        </is>
      </c>
      <c r="T181" s="51" t="n"/>
      <c r="U181" s="58" t="inlineStr">
        <is>
          <t>N</t>
        </is>
      </c>
      <c r="V181" s="53" t="n"/>
      <c r="W181" s="53" t="n"/>
      <c r="X181" s="60" t="inlineStr">
        <is>
          <t>ร้านของหวาน</t>
        </is>
      </c>
      <c r="Y181" s="61" t="inlineStr">
        <is>
          <t>สวนสยาม (Siam Amazing Park)</t>
        </is>
      </c>
      <c r="Z181" s="62" t="n">
        <v>0.38</v>
      </c>
      <c r="AA181" s="61" t="inlineStr">
        <is>
          <t>TOKYO JAMMOM</t>
        </is>
      </c>
      <c r="AB181" s="63" t="n">
        <v>4</v>
      </c>
      <c r="AC181" s="61" t="inlineStr">
        <is>
          <t>ร้านของหวาน</t>
        </is>
      </c>
      <c r="AD181" s="61" t="inlineStr">
        <is>
          <t>Google Maps (รายวัน)</t>
        </is>
      </c>
      <c r="AE181" s="61" t="inlineStr">
        <is>
          <t>ทุกวัน 11:30-21:30</t>
        </is>
      </c>
      <c r="AF181" s="61" t="inlineStr">
        <is>
          <t>ประมาณการจากประเภทร้าน/ทำเล (ยังไม่ยืนยัน)</t>
        </is>
      </c>
      <c r="AG181" s="63" t="n"/>
      <c r="AH181" s="61" t="inlineStr">
        <is>
          <t>220/2 ซ.สวนสยาม 16 คันนายาว</t>
        </is>
      </c>
      <c r="AI181" s="61" t="inlineStr">
        <is>
          <t>+66 96 395 0253</t>
        </is>
      </c>
      <c r="AJ181" s="61" t="inlineStr">
        <is>
          <t>ChIJpfLDOERE-CkR9hxENA-Jewc</t>
        </is>
      </c>
      <c r="AK181" s="64" t="inlineStr">
        <is>
          <t>เปิดแผนที่ ↗</t>
        </is>
      </c>
    </row>
    <row r="182" ht="20" customHeight="1">
      <c r="A182" s="50" t="inlineStr">
        <is>
          <t>bangkok-restaurant-nui-nom-sod-crepe</t>
        </is>
      </c>
      <c r="B182" s="51" t="inlineStr">
        <is>
          <t>restaurant</t>
        </is>
      </c>
      <c r="C182" s="52" t="inlineStr">
        <is>
          <t>นุ้ยนมสด เครปเจ๊เพิ่ม</t>
        </is>
      </c>
      <c r="D182" s="53" t="inlineStr">
        <is>
          <t>คันนายาว</t>
        </is>
      </c>
      <c r="E182" s="54" t="n">
        <v>13.8111921</v>
      </c>
      <c r="F182" s="55" t="n">
        <v>100.688415</v>
      </c>
      <c r="G182" s="56" t="inlineStr">
        <is>
          <t>localFood</t>
        </is>
      </c>
      <c r="H182" s="51" t="n">
        <v>1</v>
      </c>
      <c r="I182" s="57" t="n">
        <v>4.3</v>
      </c>
      <c r="J182" s="58" t="inlineStr">
        <is>
          <t>14:00-21:00</t>
        </is>
      </c>
      <c r="K182" s="51" t="n"/>
      <c r="L182" s="51" t="inlineStr">
        <is>
          <t>14:00-21:00</t>
        </is>
      </c>
      <c r="M182" s="51" t="inlineStr">
        <is>
          <t>14:00-21:00</t>
        </is>
      </c>
      <c r="N182" s="51" t="inlineStr">
        <is>
          <t>14:00-22:00</t>
        </is>
      </c>
      <c r="O182" s="51" t="inlineStr">
        <is>
          <t>14:00-22:00</t>
        </is>
      </c>
      <c r="P182" s="51" t="inlineStr">
        <is>
          <t>14:00-22:00</t>
        </is>
      </c>
      <c r="Q182" s="58" t="n">
        <v>20</v>
      </c>
      <c r="R182" s="59" t="n">
        <v>0</v>
      </c>
      <c r="S182" s="53" t="inlineStr">
        <is>
          <t>ร้านนมสดและเครป ถนนสวนสยาม</t>
        </is>
      </c>
      <c r="T182" s="51" t="n"/>
      <c r="U182" s="58" t="inlineStr">
        <is>
          <t>N</t>
        </is>
      </c>
      <c r="V182" s="53" t="n"/>
      <c r="W182" s="53" t="n"/>
      <c r="X182" s="60" t="inlineStr">
        <is>
          <t>ร้านของหวาน</t>
        </is>
      </c>
      <c r="Y182" s="61" t="inlineStr">
        <is>
          <t>สวนสยาม (Siam Amazing Park)</t>
        </is>
      </c>
      <c r="Z182" s="62" t="n">
        <v>0.7</v>
      </c>
      <c r="AA182" s="61" t="inlineStr">
        <is>
          <t>นุ้ยนมสด เครปเจ๊เพิ่ม</t>
        </is>
      </c>
      <c r="AB182" s="63" t="n">
        <v>261</v>
      </c>
      <c r="AC182" s="61" t="inlineStr">
        <is>
          <t>ร้านกาแฟ</t>
        </is>
      </c>
      <c r="AD182" s="61" t="inlineStr">
        <is>
          <t>Google Maps (รายวัน)</t>
        </is>
      </c>
      <c r="AE182" s="61" t="inlineStr">
        <is>
          <t>จ,พ-อา 14:00-21:00 (ศ-อา ถึง 22:00; ปิดอังคาร)</t>
        </is>
      </c>
      <c r="AF182" s="61" t="inlineStr">
        <is>
          <t>ประมาณการจากประเภทร้าน/ทำเล (ยังไม่ยืนยัน)</t>
        </is>
      </c>
      <c r="AG182" s="63" t="n"/>
      <c r="AH182" s="61" t="inlineStr">
        <is>
          <t>112/3 ถ.สวนสยาม คันนายาว</t>
        </is>
      </c>
      <c r="AI182" s="61" t="inlineStr">
        <is>
          <t>+66 84 292 3995</t>
        </is>
      </c>
      <c r="AJ182" s="61" t="inlineStr">
        <is>
          <t>ChIJCw0WjJhjHTERfWJvwcBDSS0</t>
        </is>
      </c>
      <c r="AK182" s="64" t="inlineStr">
        <is>
          <t>เปิดแผนที่ ↗</t>
        </is>
      </c>
    </row>
    <row r="183" ht="20" customHeight="1">
      <c r="A183" s="50" t="inlineStr">
        <is>
          <t>bangkok-restaurant-baan-khanom-thai-siam</t>
        </is>
      </c>
      <c r="B183" s="51" t="inlineStr">
        <is>
          <t>restaurant</t>
        </is>
      </c>
      <c r="C183" s="52" t="inlineStr">
        <is>
          <t>บ้านขนมไทยสยาม</t>
        </is>
      </c>
      <c r="D183" s="53" t="inlineStr">
        <is>
          <t>คันนายาว</t>
        </is>
      </c>
      <c r="E183" s="54" t="n">
        <v>13.8134766</v>
      </c>
      <c r="F183" s="55" t="n">
        <v>100.6859837</v>
      </c>
      <c r="G183" s="56" t="inlineStr">
        <is>
          <t>localFood</t>
        </is>
      </c>
      <c r="H183" s="51" t="n">
        <v>1</v>
      </c>
      <c r="I183" s="57" t="n">
        <v>4.1</v>
      </c>
      <c r="J183" s="58" t="n"/>
      <c r="K183" s="51" t="n"/>
      <c r="L183" s="51" t="inlineStr">
        <is>
          <t>07:30-12:00</t>
        </is>
      </c>
      <c r="M183" s="51" t="inlineStr">
        <is>
          <t>07:30-12:00</t>
        </is>
      </c>
      <c r="N183" s="51" t="inlineStr">
        <is>
          <t>07:30-12:00</t>
        </is>
      </c>
      <c r="O183" s="51" t="inlineStr">
        <is>
          <t>07:30-12:00</t>
        </is>
      </c>
      <c r="P183" s="51" t="inlineStr">
        <is>
          <t>07:30-12:00</t>
        </is>
      </c>
      <c r="Q183" s="58" t="n">
        <v>20</v>
      </c>
      <c r="R183" s="59" t="n">
        <v>0</v>
      </c>
      <c r="S183" s="53" t="inlineStr">
        <is>
          <t>ร้านขนมไทย ซอยสวนสยาม 3</t>
        </is>
      </c>
      <c r="T183" s="51" t="n"/>
      <c r="U183" s="58" t="inlineStr">
        <is>
          <t>N</t>
        </is>
      </c>
      <c r="V183" s="53" t="n"/>
      <c r="W183" s="53" t="n"/>
      <c r="X183" s="60" t="inlineStr">
        <is>
          <t>ร้านของหวาน</t>
        </is>
      </c>
      <c r="Y183" s="61" t="inlineStr">
        <is>
          <t>สวนสยาม (Siam Amazing Park)</t>
        </is>
      </c>
      <c r="Z183" s="62" t="n">
        <v>1.07</v>
      </c>
      <c r="AA183" s="61" t="inlineStr">
        <is>
          <t>บ้านขนมไทยสยาม</t>
        </is>
      </c>
      <c r="AB183" s="63" t="n">
        <v>11</v>
      </c>
      <c r="AC183" s="61" t="inlineStr">
        <is>
          <t>ร้านเบเกอรี่</t>
        </is>
      </c>
      <c r="AD183" s="61" t="inlineStr">
        <is>
          <t>Google Maps (รายวัน)</t>
        </is>
      </c>
      <c r="AE183" s="61" t="inlineStr">
        <is>
          <t>พ-อา 07:30-12:00 (ปิดจันทร์-อังคาร)</t>
        </is>
      </c>
      <c r="AF183" s="61" t="inlineStr">
        <is>
          <t>ประมาณการจากประเภทร้าน/ทำเล (ยังไม่ยืนยัน)</t>
        </is>
      </c>
      <c r="AG183" s="63" t="n"/>
      <c r="AH183" s="61" t="inlineStr">
        <is>
          <t>37 ซ.สวนสยาม 3 คันนายาว</t>
        </is>
      </c>
      <c r="AI183" s="61" t="inlineStr">
        <is>
          <t>+66 64 308 9650</t>
        </is>
      </c>
      <c r="AJ183" s="61" t="inlineStr">
        <is>
          <t>ChIJMecgLgBjHTERoQn0TlQeVkg</t>
        </is>
      </c>
      <c r="AK183" s="64" t="inlineStr">
        <is>
          <t>เปิดแผนที่ ↗</t>
        </is>
      </c>
    </row>
    <row r="184" ht="20" customHeight="1">
      <c r="A184" s="50" t="inlineStr">
        <is>
          <t>bangkok-restaurant-phu-kitchen-riverside</t>
        </is>
      </c>
      <c r="B184" s="51" t="inlineStr">
        <is>
          <t>restaurant</t>
        </is>
      </c>
      <c r="C184" s="52" t="inlineStr">
        <is>
          <t>ภู Kitchen สวนอาหารริมแม่น้ำเจ้าพระยา</t>
        </is>
      </c>
      <c r="D184" s="53" t="inlineStr">
        <is>
          <t>ปากคลองตลาด</t>
        </is>
      </c>
      <c r="E184" s="54" t="n">
        <v>13.73972</v>
      </c>
      <c r="F184" s="55" t="n">
        <v>100.50014</v>
      </c>
      <c r="G184" s="56" t="inlineStr">
        <is>
          <t>viewpoint,family</t>
        </is>
      </c>
      <c r="H184" s="51" t="n">
        <v>2</v>
      </c>
      <c r="I184" s="57" t="n">
        <v>4.4</v>
      </c>
      <c r="J184" s="58" t="inlineStr">
        <is>
          <t>12:00-24:00</t>
        </is>
      </c>
      <c r="K184" s="51" t="inlineStr">
        <is>
          <t>12:00-24:00</t>
        </is>
      </c>
      <c r="L184" s="51" t="inlineStr">
        <is>
          <t>12:00-24:00</t>
        </is>
      </c>
      <c r="M184" s="51" t="inlineStr">
        <is>
          <t>12:00-24:00</t>
        </is>
      </c>
      <c r="N184" s="51" t="inlineStr">
        <is>
          <t>12:00-24:00</t>
        </is>
      </c>
      <c r="O184" s="51" t="inlineStr">
        <is>
          <t>12:00-24:00</t>
        </is>
      </c>
      <c r="P184" s="51" t="inlineStr">
        <is>
          <t>12:00-24:00</t>
        </is>
      </c>
      <c r="Q184" s="58" t="n">
        <v>90</v>
      </c>
      <c r="R184" s="59" t="n">
        <v>0</v>
      </c>
      <c r="S184" s="53" t="inlineStr">
        <is>
          <t>ร้านบุฟเฟต์ริมแม่น้ำเจ้าพระยา ใกล้สะพานพุทธ</t>
        </is>
      </c>
      <c r="T184" s="51" t="n"/>
      <c r="U184" s="58" t="inlineStr">
        <is>
          <t>Y</t>
        </is>
      </c>
      <c r="V184" s="53" t="n"/>
      <c r="W184" s="53" t="n"/>
      <c r="X184" s="60" t="inlineStr">
        <is>
          <t>ร้านอาหาร</t>
        </is>
      </c>
      <c r="Y184" s="61" t="inlineStr">
        <is>
          <t>สะพานพระพุทธยอดฟ้า (สะพานพุทธ)</t>
        </is>
      </c>
      <c r="Z184" s="62" t="n">
        <v>0.28</v>
      </c>
      <c r="AA184" s="61" t="inlineStr">
        <is>
          <t>ภู Kitchen สวนอาหารริมแม่น้ำเจ้าพระยา</t>
        </is>
      </c>
      <c r="AB184" s="63" t="n">
        <v>885</v>
      </c>
      <c r="AC184" s="61" t="inlineStr">
        <is>
          <t>ภัตตาคารอาหารบุฟเฟต์</t>
        </is>
      </c>
      <c r="AD184" s="61" t="inlineStr">
        <is>
          <t>Google Maps (รายวัน)</t>
        </is>
      </c>
      <c r="AE184" s="61" t="inlineStr">
        <is>
          <t>ทุกวัน 12:00-24:00 (เสาร์)</t>
        </is>
      </c>
      <c r="AF184" s="61" t="inlineStr">
        <is>
          <t>ประมาณการจากประเภทร้าน/ทำเล (ยังไม่ยืนยัน)</t>
        </is>
      </c>
      <c r="AG184" s="63" t="n"/>
      <c r="AH184" s="61" t="inlineStr">
        <is>
          <t>2/16 ถ.จักรวรรดิ จักรวรรดิ สัมพันธวงศ์</t>
        </is>
      </c>
      <c r="AI184" s="61" t="inlineStr">
        <is>
          <t>+66 82 208 7556</t>
        </is>
      </c>
      <c r="AJ184" s="61" t="inlineStr">
        <is>
          <t>ChIJKVkAhJiZ4jARNoCJrCQPoIw</t>
        </is>
      </c>
      <c r="AK184" s="64" t="inlineStr">
        <is>
          <t>เปิดแผนที่ ↗</t>
        </is>
      </c>
    </row>
    <row r="185" ht="20" customHeight="1">
      <c r="A185" s="50" t="inlineStr">
        <is>
          <t>bangkok-restaurant-nagiya-yodpiman-riverwalk</t>
        </is>
      </c>
      <c r="B185" s="51" t="inlineStr">
        <is>
          <t>restaurant</t>
        </is>
      </c>
      <c r="C185" s="52" t="inlineStr">
        <is>
          <t>NAGIYA Yodpiman Riverwalk</t>
        </is>
      </c>
      <c r="D185" s="53" t="inlineStr">
        <is>
          <t>ปากคลองตลาด</t>
        </is>
      </c>
      <c r="E185" s="54" t="n">
        <v>13.74095</v>
      </c>
      <c r="F185" s="55" t="n">
        <v>100.49546</v>
      </c>
      <c r="G185" s="56" t="inlineStr">
        <is>
          <t>nightlife</t>
        </is>
      </c>
      <c r="H185" s="51" t="n">
        <v>2</v>
      </c>
      <c r="I185" s="57" t="n">
        <v>4.7</v>
      </c>
      <c r="J185" s="58" t="n"/>
      <c r="K185" s="51" t="inlineStr">
        <is>
          <t>17:00-23:00</t>
        </is>
      </c>
      <c r="L185" s="51" t="inlineStr">
        <is>
          <t>17:00-23:00</t>
        </is>
      </c>
      <c r="M185" s="51" t="inlineStr">
        <is>
          <t>17:00-23:00</t>
        </is>
      </c>
      <c r="N185" s="51" t="inlineStr">
        <is>
          <t>17:00-23:00</t>
        </is>
      </c>
      <c r="O185" s="51" t="inlineStr">
        <is>
          <t>17:00-23:00</t>
        </is>
      </c>
      <c r="P185" s="51" t="inlineStr">
        <is>
          <t>17:00-23:00</t>
        </is>
      </c>
      <c r="Q185" s="58" t="n">
        <v>60</v>
      </c>
      <c r="R185" s="59" t="n">
        <v>0</v>
      </c>
      <c r="S185" s="53" t="inlineStr">
        <is>
          <t>ร้านอิซากายะญี่ปุ่น ในยอดพิมาน ริเวอร์วอล์ค</t>
        </is>
      </c>
      <c r="T185" s="51" t="n"/>
      <c r="U185" s="58" t="inlineStr">
        <is>
          <t>Y</t>
        </is>
      </c>
      <c r="V185" s="53" t="n"/>
      <c r="W185" s="53" t="n"/>
      <c r="X185" s="60" t="inlineStr">
        <is>
          <t>ร้านอาหาร</t>
        </is>
      </c>
      <c r="Y185" s="61" t="inlineStr">
        <is>
          <t>สะพานพระพุทธยอดฟ้า (สะพานพุทธ)</t>
        </is>
      </c>
      <c r="Z185" s="62" t="n">
        <v>0.3</v>
      </c>
      <c r="AA185" s="61" t="inlineStr">
        <is>
          <t>NAGIYA Yodpiman Riverwalk</t>
        </is>
      </c>
      <c r="AB185" s="63" t="n">
        <v>618</v>
      </c>
      <c r="AC185" s="61" t="inlineStr">
        <is>
          <t>ร้านอาหารอิซาคายะ</t>
        </is>
      </c>
      <c r="AD185" s="61" t="inlineStr">
        <is>
          <t>Google Maps (รายวัน)</t>
        </is>
      </c>
      <c r="AE185" s="61" t="inlineStr">
        <is>
          <t>อ-อา 17:00-23:00 (ปิดจันทร์)</t>
        </is>
      </c>
      <c r="AF185" s="61" t="inlineStr">
        <is>
          <t>ประมาณการจากประเภทร้าน/ทำเล (ยังไม่ยืนยัน)</t>
        </is>
      </c>
      <c r="AG185" s="63" t="n"/>
      <c r="AH185" s="61" t="inlineStr">
        <is>
          <t>390/20 ถ.บ้านหม้อ วังบูรพาภิรมย์ พระนคร</t>
        </is>
      </c>
      <c r="AI185" s="61" t="inlineStr">
        <is>
          <t>+66 80 823 7727</t>
        </is>
      </c>
      <c r="AJ185" s="61" t="inlineStr">
        <is>
          <t>ChIJXYKPQjuZ4jARL5W1S-jf9-E</t>
        </is>
      </c>
      <c r="AK185" s="64" t="inlineStr">
        <is>
          <t>เปิดแผนที่ ↗</t>
        </is>
      </c>
    </row>
    <row r="186" ht="20" customHeight="1">
      <c r="A186" s="50" t="inlineStr">
        <is>
          <t>bangkok-restaurant-bbq-rooftop-river-view</t>
        </is>
      </c>
      <c r="B186" s="51" t="inlineStr">
        <is>
          <t>restaurant</t>
        </is>
      </c>
      <c r="C186" s="52" t="inlineStr">
        <is>
          <t>BBQ RoofTop River View</t>
        </is>
      </c>
      <c r="D186" s="53" t="inlineStr">
        <is>
          <t>ปากคลองตลาด</t>
        </is>
      </c>
      <c r="E186" s="54" t="n">
        <v>13.7397</v>
      </c>
      <c r="F186" s="55" t="n">
        <v>100.50014</v>
      </c>
      <c r="G186" s="56" t="inlineStr">
        <is>
          <t>viewpoint,nightlife</t>
        </is>
      </c>
      <c r="H186" s="51" t="n">
        <v>2</v>
      </c>
      <c r="I186" s="57" t="n">
        <v>4.3</v>
      </c>
      <c r="J186" s="58" t="inlineStr">
        <is>
          <t>15:00-24:00</t>
        </is>
      </c>
      <c r="K186" s="51" t="inlineStr">
        <is>
          <t>15:00-24:00</t>
        </is>
      </c>
      <c r="L186" s="51" t="inlineStr">
        <is>
          <t>15:00-24:00</t>
        </is>
      </c>
      <c r="M186" s="51" t="inlineStr">
        <is>
          <t>15:00-24:00</t>
        </is>
      </c>
      <c r="N186" s="51" t="inlineStr">
        <is>
          <t>15:00-24:00</t>
        </is>
      </c>
      <c r="O186" s="51" t="inlineStr">
        <is>
          <t>15:00-24:00</t>
        </is>
      </c>
      <c r="P186" s="51" t="inlineStr">
        <is>
          <t>15:00-24:00</t>
        </is>
      </c>
      <c r="Q186" s="58" t="n">
        <v>90</v>
      </c>
      <c r="R186" s="59" t="n">
        <v>0</v>
      </c>
      <c r="S186" s="53" t="inlineStr">
        <is>
          <t>ร้านปิ้งย่างบนดาดฟ้า วิวแม่น้ำเจ้าพระยา ถนนทรงวาด</t>
        </is>
      </c>
      <c r="T186" s="51" t="n"/>
      <c r="U186" s="58" t="inlineStr">
        <is>
          <t>Y</t>
        </is>
      </c>
      <c r="V186" s="53" t="n"/>
      <c r="W186" s="53" t="n"/>
      <c r="X186" s="60" t="inlineStr">
        <is>
          <t>ร้านอาหาร</t>
        </is>
      </c>
      <c r="Y186" s="61" t="inlineStr">
        <is>
          <t>สะพานพระพุทธยอดฟ้า (สะพานพุทธ)</t>
        </is>
      </c>
      <c r="Z186" s="62" t="n">
        <v>0.28</v>
      </c>
      <c r="AA186" s="61" t="inlineStr">
        <is>
          <t>บาร์บีคิวดาดฟ้าริมแม่น้ำเจ้าพระยา</t>
        </is>
      </c>
      <c r="AB186" s="63" t="n">
        <v>1552</v>
      </c>
      <c r="AC186" s="61" t="inlineStr">
        <is>
          <t>ปิ้งย่าง, ร้านอาหาร</t>
        </is>
      </c>
      <c r="AD186" s="61" t="inlineStr">
        <is>
          <t>Google Maps (รายวัน)</t>
        </is>
      </c>
      <c r="AE186" s="61" t="inlineStr">
        <is>
          <t>ทุกวัน 15:00-24:00 (เสาร์)</t>
        </is>
      </c>
      <c r="AF186" s="61" t="inlineStr">
        <is>
          <t>ประมาณการจากประเภทร้าน/ทำเล (ยังไม่ยืนยัน)</t>
        </is>
      </c>
      <c r="AG186" s="63" t="n"/>
      <c r="AH186" s="61" t="inlineStr">
        <is>
          <t>216 ถ.ทรงวาด จักรวรรดิ สัมพันธวงศ์</t>
        </is>
      </c>
      <c r="AI186" s="61" t="inlineStr">
        <is>
          <t>+66 92 789 9545</t>
        </is>
      </c>
      <c r="AJ186" s="61" t="inlineStr">
        <is>
          <t>ChIJPWb36AyZ4jAR98-qaNJ4giA</t>
        </is>
      </c>
      <c r="AK186" s="64" t="inlineStr">
        <is>
          <t>เปิดแผนที่ ↗</t>
        </is>
      </c>
    </row>
    <row r="187" ht="20" customHeight="1">
      <c r="A187" s="50" t="inlineStr">
        <is>
          <t>bangkok-restaurant-5am-soy-milk-tea</t>
        </is>
      </c>
      <c r="B187" s="51" t="inlineStr">
        <is>
          <t>restaurant</t>
        </is>
      </c>
      <c r="C187" s="52" t="inlineStr">
        <is>
          <t>5 a.m.</t>
        </is>
      </c>
      <c r="D187" s="53" t="inlineStr">
        <is>
          <t>ปากคลองตลาด</t>
        </is>
      </c>
      <c r="E187" s="54" t="n">
        <v>13.74457</v>
      </c>
      <c r="F187" s="55" t="n">
        <v>100.49726</v>
      </c>
      <c r="G187" s="56" t="inlineStr">
        <is>
          <t>cafe,localFood</t>
        </is>
      </c>
      <c r="H187" s="51" t="n">
        <v>1</v>
      </c>
      <c r="I187" s="57" t="n">
        <v>4.9</v>
      </c>
      <c r="J187" s="58" t="n"/>
      <c r="K187" s="51" t="inlineStr">
        <is>
          <t>09:00-21:00</t>
        </is>
      </c>
      <c r="L187" s="51" t="inlineStr">
        <is>
          <t>09:00-21:00</t>
        </is>
      </c>
      <c r="M187" s="51" t="inlineStr">
        <is>
          <t>09:00-21:00</t>
        </is>
      </c>
      <c r="N187" s="51" t="inlineStr">
        <is>
          <t>09:00-21:00</t>
        </is>
      </c>
      <c r="O187" s="51" t="inlineStr">
        <is>
          <t>09:00-21:00</t>
        </is>
      </c>
      <c r="P187" s="51" t="inlineStr">
        <is>
          <t>09:00-21:00</t>
        </is>
      </c>
      <c r="Q187" s="58" t="n">
        <v>30</v>
      </c>
      <c r="R187" s="59" t="n">
        <v>0</v>
      </c>
      <c r="S187" s="53" t="inlineStr">
        <is>
          <t>คาเฟ่น้ำเต้าหู้และชา ถนนบ้านหม้อ</t>
        </is>
      </c>
      <c r="T187" s="51" t="n"/>
      <c r="U187" s="58" t="inlineStr">
        <is>
          <t>N</t>
        </is>
      </c>
      <c r="V187" s="53" t="n"/>
      <c r="W187" s="53" t="n"/>
      <c r="X187" s="60" t="inlineStr">
        <is>
          <t>ร้านเครื่องดื่ม</t>
        </is>
      </c>
      <c r="Y187" s="61" t="inlineStr">
        <is>
          <t>สะพานพระพุทธยอดฟ้า (สะพานพุทธ)</t>
        </is>
      </c>
      <c r="Z187" s="62" t="n">
        <v>0.59</v>
      </c>
      <c r="AA187" s="61" t="inlineStr">
        <is>
          <t>5 a.m. คาเฟ่น้ำเต้าหู้ และชา</t>
        </is>
      </c>
      <c r="AB187" s="63" t="n">
        <v>437</v>
      </c>
      <c r="AC187" s="61" t="inlineStr">
        <is>
          <t>ร้านกาแฟ</t>
        </is>
      </c>
      <c r="AD187" s="61" t="inlineStr">
        <is>
          <t>Google Maps (รายวัน)</t>
        </is>
      </c>
      <c r="AE187" s="61" t="inlineStr">
        <is>
          <t>อ-อา 09:00-21:00 (ปิดจันทร์)</t>
        </is>
      </c>
      <c r="AF187" s="61" t="inlineStr">
        <is>
          <t>ประมาณการจากประเภทร้าน/ทำเล (ยังไม่ยืนยัน)</t>
        </is>
      </c>
      <c r="AG187" s="63" t="n"/>
      <c r="AH187" s="61" t="inlineStr">
        <is>
          <t>212 ถ.บ้านหม้อ วังบูรพาภิรมย์ พระนคร</t>
        </is>
      </c>
      <c r="AI187" s="61" t="inlineStr">
        <is>
          <t>+66 64 642 6615</t>
        </is>
      </c>
      <c r="AJ187" s="61" t="inlineStr">
        <is>
          <t>ChIJN2VoTo6Z4jARGJKu76SI8dE</t>
        </is>
      </c>
      <c r="AK187" s="64" t="inlineStr">
        <is>
          <t>เปิดแผนที่ ↗</t>
        </is>
      </c>
    </row>
    <row r="188" ht="20" customHeight="1">
      <c r="A188" s="50" t="inlineStr">
        <is>
          <t>bangkok-restaurant-floral-cafe-napasorn</t>
        </is>
      </c>
      <c r="B188" s="51" t="inlineStr">
        <is>
          <t>restaurant</t>
        </is>
      </c>
      <c r="C188" s="52" t="inlineStr">
        <is>
          <t>Floral Café at Napasorn</t>
        </is>
      </c>
      <c r="D188" s="53" t="inlineStr">
        <is>
          <t>ปากคลองตลาด</t>
        </is>
      </c>
      <c r="E188" s="54" t="n">
        <v>13.74229</v>
      </c>
      <c r="F188" s="55" t="n">
        <v>100.49671</v>
      </c>
      <c r="G188" s="56" t="inlineStr">
        <is>
          <t>cafe</t>
        </is>
      </c>
      <c r="H188" s="51" t="n">
        <v>2</v>
      </c>
      <c r="I188" s="57" t="n">
        <v>4.7</v>
      </c>
      <c r="J188" s="58" t="inlineStr">
        <is>
          <t>09:00-19:00</t>
        </is>
      </c>
      <c r="K188" s="51" t="inlineStr">
        <is>
          <t>09:00-19:00</t>
        </is>
      </c>
      <c r="L188" s="51" t="inlineStr">
        <is>
          <t>09:00-19:00</t>
        </is>
      </c>
      <c r="M188" s="51" t="inlineStr">
        <is>
          <t>09:00-19:00</t>
        </is>
      </c>
      <c r="N188" s="51" t="inlineStr">
        <is>
          <t>09:00-19:00</t>
        </is>
      </c>
      <c r="O188" s="51" t="inlineStr">
        <is>
          <t>09:00-19:00</t>
        </is>
      </c>
      <c r="P188" s="51" t="inlineStr">
        <is>
          <t>09:00-19:00</t>
        </is>
      </c>
      <c r="Q188" s="58" t="n">
        <v>45</v>
      </c>
      <c r="R188" s="59" t="n">
        <v>0</v>
      </c>
      <c r="S188" s="53" t="inlineStr">
        <is>
          <t>คาเฟ่ดอกไม้ ย่านปากคลองตลาด ถนนจักรเพชร</t>
        </is>
      </c>
      <c r="T188" s="51" t="n"/>
      <c r="U188" s="58" t="inlineStr">
        <is>
          <t>N</t>
        </is>
      </c>
      <c r="V188" s="53" t="inlineStr">
        <is>
          <t>เวลาวันธรรมดายังไม่ยืนยัน</t>
        </is>
      </c>
      <c r="W188" s="53" t="n"/>
      <c r="X188" s="60" t="inlineStr">
        <is>
          <t>ร้านเครื่องดื่ม</t>
        </is>
      </c>
      <c r="Y188" s="61" t="inlineStr">
        <is>
          <t>สะพานพระพุทธยอดฟ้า (สะพานพุทธ)</t>
        </is>
      </c>
      <c r="Z188" s="62" t="n">
        <v>0.35</v>
      </c>
      <c r="AA188" s="61" t="inlineStr">
        <is>
          <t>Floral Café at Napasorn</t>
        </is>
      </c>
      <c r="AB188" s="63" t="n"/>
      <c r="AC188" s="61" t="inlineStr">
        <is>
          <t>ร้านกาแฟ</t>
        </is>
      </c>
      <c r="AD188" s="61" t="inlineStr">
        <is>
          <t>ตารางของเพื่อน (Google ให้มาแค่ 1 วัน)</t>
        </is>
      </c>
      <c r="AE188" s="61" t="inlineStr">
        <is>
          <t>ทุกวัน 09:00-19:00 (เสาร์)</t>
        </is>
      </c>
      <c r="AF188" s="61" t="inlineStr">
        <is>
          <t>ประมาณการจากประเภทร้าน/ทำเล (ยังไม่ยืนยัน)</t>
        </is>
      </c>
      <c r="AG188" s="63" t="n"/>
      <c r="AH188" s="61" t="inlineStr">
        <is>
          <t>67 ถ.จักรเพชร วังบูรพาภิรมย์ พระนคร</t>
        </is>
      </c>
      <c r="AI188" s="61" t="inlineStr">
        <is>
          <t>+66 99 468 4899</t>
        </is>
      </c>
      <c r="AJ188" s="61" t="inlineStr">
        <is>
          <t>ChIJr0_8WhuZ4jARkLSG8nhL7n8</t>
        </is>
      </c>
      <c r="AK188" s="64" t="inlineStr">
        <is>
          <t>เปิดแผนที่ ↗</t>
        </is>
      </c>
    </row>
    <row r="189" ht="20" customHeight="1">
      <c r="A189" s="50" t="inlineStr">
        <is>
          <t>bangkok-restaurant-farm-to-table-organic-cafe</t>
        </is>
      </c>
      <c r="B189" s="51" t="inlineStr">
        <is>
          <t>restaurant</t>
        </is>
      </c>
      <c r="C189" s="52" t="inlineStr">
        <is>
          <t>Farm to Table, Organic Cafe</t>
        </is>
      </c>
      <c r="D189" s="53" t="inlineStr">
        <is>
          <t>ปากคลองตลาด</t>
        </is>
      </c>
      <c r="E189" s="54" t="n">
        <v>13.74359</v>
      </c>
      <c r="F189" s="55" t="n">
        <v>100.49617</v>
      </c>
      <c r="G189" s="56" t="inlineStr">
        <is>
          <t>cafe</t>
        </is>
      </c>
      <c r="H189" s="51" t="n">
        <v>2</v>
      </c>
      <c r="I189" s="57" t="n">
        <v>4.4</v>
      </c>
      <c r="J189" s="58" t="inlineStr">
        <is>
          <t>09:00-19:00</t>
        </is>
      </c>
      <c r="K189" s="51" t="inlineStr">
        <is>
          <t>09:00-19:00</t>
        </is>
      </c>
      <c r="L189" s="51" t="n"/>
      <c r="M189" s="51" t="inlineStr">
        <is>
          <t>09:00-19:00</t>
        </is>
      </c>
      <c r="N189" s="51" t="inlineStr">
        <is>
          <t>09:00-19:00</t>
        </is>
      </c>
      <c r="O189" s="51" t="inlineStr">
        <is>
          <t>09:00-19:00</t>
        </is>
      </c>
      <c r="P189" s="51" t="inlineStr">
        <is>
          <t>09:00-19:00</t>
        </is>
      </c>
      <c r="Q189" s="58" t="n">
        <v>45</v>
      </c>
      <c r="R189" s="59" t="n">
        <v>0</v>
      </c>
      <c r="S189" s="53" t="inlineStr">
        <is>
          <t>คาเฟ่ออร์แกนิก มีอาหารและไอศกรีม ถนนอัษฎางค์</t>
        </is>
      </c>
      <c r="T189" s="51" t="n"/>
      <c r="U189" s="58" t="inlineStr">
        <is>
          <t>Y</t>
        </is>
      </c>
      <c r="V189" s="53" t="n"/>
      <c r="W189" s="53" t="n"/>
      <c r="X189" s="60" t="inlineStr">
        <is>
          <t>ร้านเครื่องดื่ม</t>
        </is>
      </c>
      <c r="Y189" s="61" t="inlineStr">
        <is>
          <t>สะพานพระพุทธยอดฟ้า (สะพานพุทธ)</t>
        </is>
      </c>
      <c r="Z189" s="62" t="n">
        <v>0.5</v>
      </c>
      <c r="AA189" s="61" t="inlineStr">
        <is>
          <t>Farm to Table, Organic Cafe'</t>
        </is>
      </c>
      <c r="AB189" s="63" t="n">
        <v>802</v>
      </c>
      <c r="AC189" s="61" t="inlineStr">
        <is>
          <t>ร้านกาแฟ</t>
        </is>
      </c>
      <c r="AD189" s="61" t="inlineStr">
        <is>
          <t>Google Maps (รายวัน)</t>
        </is>
      </c>
      <c r="AE189" s="61" t="inlineStr">
        <is>
          <t>ทุกวัน 09:00-19:00 (ปิดพุธ)</t>
        </is>
      </c>
      <c r="AF189" s="61" t="inlineStr">
        <is>
          <t>ประมาณการจากประเภทร้าน/ทำเล (ยังไม่ยืนยัน)</t>
        </is>
      </c>
      <c r="AG189" s="63" t="n"/>
      <c r="AH189" s="61" t="inlineStr">
        <is>
          <t>179 ถ.อัษฎางค์ วังบูรพาภิรมย์ พระนคร</t>
        </is>
      </c>
      <c r="AI189" s="61" t="inlineStr">
        <is>
          <t>+66 2 115 2625</t>
        </is>
      </c>
      <c r="AJ189" s="61" t="inlineStr">
        <is>
          <t>ChIJQ5mJMxuZ4jARTE2Xh-_eRhU</t>
        </is>
      </c>
      <c r="AK189" s="64" t="inlineStr">
        <is>
          <t>เปิดแผนที่ ↗</t>
        </is>
      </c>
    </row>
    <row r="190" ht="20" customHeight="1">
      <c r="A190" s="50" t="inlineStr">
        <is>
          <t>bangkok-restaurant-farm-to-table-hideout</t>
        </is>
      </c>
      <c r="B190" s="51" t="inlineStr">
        <is>
          <t>restaurant</t>
        </is>
      </c>
      <c r="C190" s="52" t="inlineStr">
        <is>
          <t>FARM to TABLE, Hideout</t>
        </is>
      </c>
      <c r="D190" s="53" t="inlineStr">
        <is>
          <t>ปากคลองตลาด</t>
        </is>
      </c>
      <c r="E190" s="54" t="n">
        <v>13.7437</v>
      </c>
      <c r="F190" s="55" t="n">
        <v>100.4969</v>
      </c>
      <c r="G190" s="56" t="inlineStr">
        <is>
          <t>cafe</t>
        </is>
      </c>
      <c r="H190" s="51" t="n">
        <v>2</v>
      </c>
      <c r="I190" s="57" t="n">
        <v>4.6</v>
      </c>
      <c r="J190" s="58" t="inlineStr">
        <is>
          <t>09:00-19:00</t>
        </is>
      </c>
      <c r="K190" s="51" t="inlineStr">
        <is>
          <t>09:00-19:00</t>
        </is>
      </c>
      <c r="L190" s="51" t="n"/>
      <c r="M190" s="51" t="inlineStr">
        <is>
          <t>09:00-19:00</t>
        </is>
      </c>
      <c r="N190" s="51" t="inlineStr">
        <is>
          <t>09:00-19:00</t>
        </is>
      </c>
      <c r="O190" s="51" t="inlineStr">
        <is>
          <t>09:00-19:00</t>
        </is>
      </c>
      <c r="P190" s="51" t="inlineStr">
        <is>
          <t>09:00-19:00</t>
        </is>
      </c>
      <c r="Q190" s="58" t="n">
        <v>45</v>
      </c>
      <c r="R190" s="59" t="n">
        <v>0</v>
      </c>
      <c r="S190" s="53" t="inlineStr">
        <is>
          <t>คาเฟ่และของหวาน มีอาหาร ในซอยท่ากลาง ย่านปากคลองตลาด</t>
        </is>
      </c>
      <c r="T190" s="51" t="n"/>
      <c r="U190" s="58" t="inlineStr">
        <is>
          <t>Y</t>
        </is>
      </c>
      <c r="V190" s="53" t="n"/>
      <c r="W190" s="53" t="n"/>
      <c r="X190" s="60" t="inlineStr">
        <is>
          <t>ร้านของหวาน</t>
        </is>
      </c>
      <c r="Y190" s="61" t="inlineStr">
        <is>
          <t>สะพานพระพุทธยอดฟ้า (สะพานพุทธ)</t>
        </is>
      </c>
      <c r="Z190" s="62" t="n">
        <v>0.5</v>
      </c>
      <c r="AA190" s="61" t="inlineStr">
        <is>
          <t>ฟาร์มทูเทเบิล ไฮด์เอาท์</t>
        </is>
      </c>
      <c r="AB190" s="63" t="n">
        <v>656</v>
      </c>
      <c r="AC190" s="61" t="inlineStr">
        <is>
          <t>ร้านกาแฟ, ร้านขนมหวาน, ร้านอาหาร</t>
        </is>
      </c>
      <c r="AD190" s="61" t="inlineStr">
        <is>
          <t>Google Maps (รายวัน)</t>
        </is>
      </c>
      <c r="AE190" s="61" t="inlineStr">
        <is>
          <t>ทุกวัน 09:00-19:00 (ปิดพุธ)</t>
        </is>
      </c>
      <c r="AF190" s="61" t="inlineStr">
        <is>
          <t>ประมาณการจากประเภทร้าน/ทำเล (ยังไม่ยืนยัน)</t>
        </is>
      </c>
      <c r="AG190" s="63" t="n"/>
      <c r="AH190" s="61" t="inlineStr">
        <is>
          <t>15 ซ.ท่ากลาง วังบูรพาภิรมย์ พระนคร</t>
        </is>
      </c>
      <c r="AI190" s="61" t="inlineStr">
        <is>
          <t>+66 2 004 8771</t>
        </is>
      </c>
      <c r="AJ190" s="61" t="inlineStr">
        <is>
          <t>ChIJHS2FAO6Z4jARqhV0fzk_yhI</t>
        </is>
      </c>
      <c r="AK190" s="64" t="inlineStr">
        <is>
          <t>เปิดแผนที่ ↗</t>
        </is>
      </c>
    </row>
    <row r="191" ht="20" customHeight="1">
      <c r="A191" s="50" t="inlineStr">
        <is>
          <t>bangkok-restaurant-yai-thum-hai-laan-kai</t>
        </is>
      </c>
      <c r="B191" s="51" t="inlineStr">
        <is>
          <t>restaurant</t>
        </is>
      </c>
      <c r="C191" s="52" t="inlineStr">
        <is>
          <t>Yai Thum Hai Laan Kai</t>
        </is>
      </c>
      <c r="D191" s="53" t="inlineStr">
        <is>
          <t>ปากคลองตลาด</t>
        </is>
      </c>
      <c r="E191" s="54" t="n">
        <v>13.74154</v>
      </c>
      <c r="F191" s="55" t="n">
        <v>100.49443</v>
      </c>
      <c r="G191" s="56" t="inlineStr">
        <is>
          <t>cafe</t>
        </is>
      </c>
      <c r="H191" s="51" t="n">
        <v>1</v>
      </c>
      <c r="I191" s="57" t="n">
        <v>3.7</v>
      </c>
      <c r="J191" s="58" t="n"/>
      <c r="K191" s="51" t="inlineStr">
        <is>
          <t>08:00-19:00</t>
        </is>
      </c>
      <c r="L191" s="51" t="inlineStr">
        <is>
          <t>08:00-19:00</t>
        </is>
      </c>
      <c r="M191" s="51" t="inlineStr">
        <is>
          <t>08:00-19:00</t>
        </is>
      </c>
      <c r="N191" s="51" t="inlineStr">
        <is>
          <t>08:00-19:00</t>
        </is>
      </c>
      <c r="O191" s="51" t="inlineStr">
        <is>
          <t>08:00-19:00</t>
        </is>
      </c>
      <c r="P191" s="51" t="inlineStr">
        <is>
          <t>08:00-19:00</t>
        </is>
      </c>
      <c r="Q191" s="58" t="n">
        <v>20</v>
      </c>
      <c r="R191" s="59" t="n">
        <v>0</v>
      </c>
      <c r="S191" s="53" t="inlineStr">
        <is>
          <t>ร้านขนมปังและเครื่องดื่ม ในยอดพิมาน ริเวอร์วอล์ค</t>
        </is>
      </c>
      <c r="T191" s="51" t="n"/>
      <c r="U191" s="58" t="inlineStr">
        <is>
          <t>N</t>
        </is>
      </c>
      <c r="V191" s="53" t="n"/>
      <c r="W191" s="53" t="n"/>
      <c r="X191" s="60" t="inlineStr">
        <is>
          <t>ร้านของหวาน</t>
        </is>
      </c>
      <c r="Y191" s="61" t="inlineStr">
        <is>
          <t>สะพานพระพุทธยอดฟ้า (สะพานพุทธ)</t>
        </is>
      </c>
      <c r="Z191" s="62" t="n">
        <v>0.42</v>
      </c>
      <c r="AA191" s="61" t="inlineStr">
        <is>
          <t>ยายทำให้หลานขาย ยอดพิมานริเวอร์วอล์ค</t>
        </is>
      </c>
      <c r="AB191" s="63" t="n">
        <v>73</v>
      </c>
      <c r="AC191" s="61" t="inlineStr">
        <is>
          <t>ร้านกาแฟ, ร้านขายขนมปัง</t>
        </is>
      </c>
      <c r="AD191" s="61" t="inlineStr">
        <is>
          <t>Google Maps (รายวัน)</t>
        </is>
      </c>
      <c r="AE191" s="61" t="inlineStr">
        <is>
          <t>อ-อา 08:00-19:00 (ปิดจันทร์)</t>
        </is>
      </c>
      <c r="AF191" s="61" t="inlineStr">
        <is>
          <t>ประมาณการจากประเภทร้าน/ทำเล (ยังไม่ยืนยัน)</t>
        </is>
      </c>
      <c r="AG191" s="63" t="n"/>
      <c r="AH191" s="61" t="inlineStr">
        <is>
          <t>240 ท่าเรือ ถ.อัษฎางค์ วังบูรพาภิรมย์ พระนคร</t>
        </is>
      </c>
      <c r="AI191" s="61" t="inlineStr">
        <is>
          <t>+66 92 605 9145</t>
        </is>
      </c>
      <c r="AJ191" s="61" t="inlineStr">
        <is>
          <t>ChIJCRFd5AyZ4jAROqVIK-MGKJo</t>
        </is>
      </c>
      <c r="AK191" s="64" t="inlineStr">
        <is>
          <t>เปิดแผนที่ ↗</t>
        </is>
      </c>
    </row>
    <row r="192" ht="20" customHeight="1">
      <c r="A192" s="50" t="inlineStr">
        <is>
          <t>bangkok-restaurant-mi-thai-dessert</t>
        </is>
      </c>
      <c r="B192" s="51" t="inlineStr">
        <is>
          <t>restaurant</t>
        </is>
      </c>
      <c r="C192" s="52" t="inlineStr">
        <is>
          <t>Mi Thai Dessert</t>
        </is>
      </c>
      <c r="D192" s="53" t="inlineStr">
        <is>
          <t>ปากคลองตลาด</t>
        </is>
      </c>
      <c r="E192" s="54" t="n">
        <v>13.7392138</v>
      </c>
      <c r="F192" s="55" t="n">
        <v>100.5067042</v>
      </c>
      <c r="G192" s="56" t="inlineStr">
        <is>
          <t>localFood</t>
        </is>
      </c>
      <c r="H192" s="51" t="n">
        <v>1</v>
      </c>
      <c r="I192" s="57" t="n">
        <v>4.9</v>
      </c>
      <c r="J192" s="58" t="inlineStr">
        <is>
          <t>10:00-19:00</t>
        </is>
      </c>
      <c r="K192" s="51" t="inlineStr">
        <is>
          <t>10:00-19:00</t>
        </is>
      </c>
      <c r="L192" s="51" t="inlineStr">
        <is>
          <t>10:00-19:00</t>
        </is>
      </c>
      <c r="M192" s="51" t="inlineStr">
        <is>
          <t>10:00-19:00</t>
        </is>
      </c>
      <c r="N192" s="51" t="inlineStr">
        <is>
          <t>10:00-19:00</t>
        </is>
      </c>
      <c r="O192" s="51" t="inlineStr">
        <is>
          <t>10:00-19:00</t>
        </is>
      </c>
      <c r="P192" s="51" t="inlineStr">
        <is>
          <t>10:00-19:00</t>
        </is>
      </c>
      <c r="Q192" s="58" t="n">
        <v>20</v>
      </c>
      <c r="R192" s="59" t="n">
        <v>0</v>
      </c>
      <c r="S192" s="53" t="inlineStr">
        <is>
          <t>ร้านขนมไทย ตรอกโรงโคม ย่านสัมพันธวงศ์</t>
        </is>
      </c>
      <c r="T192" s="51" t="n"/>
      <c r="U192" s="58" t="inlineStr">
        <is>
          <t>N</t>
        </is>
      </c>
      <c r="V192" s="53" t="n"/>
      <c r="W192" s="53" t="n"/>
      <c r="X192" s="60" t="inlineStr">
        <is>
          <t>ร้านของหวาน</t>
        </is>
      </c>
      <c r="Y192" s="61" t="inlineStr">
        <is>
          <t>สะพานพระพุทธยอดฟ้า (สะพานพุทธ)</t>
        </is>
      </c>
      <c r="Z192" s="62" t="n">
        <v>0.98</v>
      </c>
      <c r="AA192" s="61" t="inlineStr">
        <is>
          <t>มี่ขนมไทย</t>
        </is>
      </c>
      <c r="AB192" s="63" t="n">
        <v>146</v>
      </c>
      <c r="AC192" s="61" t="inlineStr">
        <is>
          <t>ร้านขนมหวาน</t>
        </is>
      </c>
      <c r="AD192" s="61" t="inlineStr">
        <is>
          <t>Google Maps (รายวัน)</t>
        </is>
      </c>
      <c r="AE192" s="61" t="inlineStr">
        <is>
          <t>ทุกวัน 10:00-19:00</t>
        </is>
      </c>
      <c r="AF192" s="61" t="inlineStr">
        <is>
          <t>ประมาณการจากประเภทร้าน/ทำเล (ยังไม่ยืนยัน)</t>
        </is>
      </c>
      <c r="AG192" s="63" t="n"/>
      <c r="AH192" s="61" t="inlineStr">
        <is>
          <t>538 ตรอกโรงโคม สัมพันธวงศ์ (ติดโรงเรียนเผยอิง)</t>
        </is>
      </c>
      <c r="AI192" s="61" t="inlineStr">
        <is>
          <t>+66 95 818 2919</t>
        </is>
      </c>
      <c r="AJ192" s="61" t="inlineStr">
        <is>
          <t>ChIJg4vvVgCZ4jARZMzIP6_hBP0</t>
        </is>
      </c>
      <c r="AK192" s="64" t="inlineStr">
        <is>
          <t>เปิดแผนที่ ↗</t>
        </is>
      </c>
    </row>
  </sheetData>
  <autoFilter ref="A2:AK192"/>
  <conditionalFormatting sqref="A3:AK2000">
    <cfRule type="expression" priority="1" dxfId="0" stopIfTrue="1">
      <formula>LEN($V3)&gt;0</formula>
    </cfRule>
    <cfRule type="expression" priority="2" dxfId="1">
      <formula>AND(LEN($A3)&gt;0,MOD(ROW(),2)=0)</formula>
    </cfRule>
  </conditionalFormatting>
  <conditionalFormatting sqref="B3:B2000">
    <cfRule type="cellIs" priority="3" operator="equal" dxfId="2">
      <formula>"attraction"</formula>
    </cfRule>
    <cfRule type="cellIs" priority="4" operator="equal" dxfId="3">
      <formula>"restaurant"</formula>
    </cfRule>
    <cfRule type="cellIs" priority="5" operator="equal" dxfId="4">
      <formula>"accommodation"</formula>
    </cfRule>
  </conditionalFormatting>
  <conditionalFormatting sqref="H3:H2000">
    <cfRule type="cellIs" priority="6" operator="equal" dxfId="5">
      <formula>1</formula>
    </cfRule>
    <cfRule type="cellIs" priority="7" operator="equal" dxfId="6">
      <formula>2</formula>
    </cfRule>
    <cfRule type="cellIs" priority="8" operator="equal" dxfId="7">
      <formula>3</formula>
    </cfRule>
    <cfRule type="cellIs" priority="9" operator="equal" dxfId="8">
      <formula>4</formula>
    </cfRule>
  </conditionalFormatting>
  <conditionalFormatting sqref="I3:I2000">
    <cfRule type="cellIs" priority="10" operator="greaterThanOrEqual" dxfId="9">
      <formula>4.5</formula>
    </cfRule>
    <cfRule type="expression" priority="11" dxfId="10">
      <formula>AND(ISNUMBER(I3),I3&lt;4)</formula>
    </cfRule>
  </conditionalFormatting>
  <conditionalFormatting sqref="J3:P2000">
    <cfRule type="expression" priority="12" dxfId="11">
      <formula>AND(LEN($A3)&gt;0,LEN(J3)=0)</formula>
    </cfRule>
  </conditionalFormatting>
  <conditionalFormatting sqref="U3:U2000">
    <cfRule type="cellIs" priority="13" operator="equal" dxfId="2">
      <formula>"Y"</formula>
    </cfRule>
    <cfRule type="cellIs" priority="14" operator="equal" dxfId="12">
      <formula>"N"</formula>
    </cfRule>
  </conditionalFormatting>
  <conditionalFormatting sqref="V3:V2000">
    <cfRule type="expression" priority="15" dxfId="13">
      <formula>LEN(V3)&gt;0</formula>
    </cfRule>
  </conditionalFormatting>
  <dataValidations count="3">
    <dataValidation sqref="H3:H2000" showDropDown="0" showInputMessage="0" showErrorMessage="0" allowBlank="0" type="whole" operator="between">
      <formula1>1</formula1>
      <formula2>4</formula2>
    </dataValidation>
    <dataValidation sqref="U3:U2000" showDropDown="0" showInputMessage="0" showErrorMessage="0" allowBlank="1" type="list">
      <formula1>"Y,N"</formula1>
    </dataValidation>
    <dataValidation sqref="B3:B2000" showDropDown="0" showInputMessage="0" showErrorMessage="0" allowBlank="0" type="list">
      <formula1>"attraction,restaurant,accommodation"</formula1>
    </dataValidation>
  </dataValidations>
  <hyperlinks>
    <hyperlink xmlns:r="http://schemas.openxmlformats.org/officeDocument/2006/relationships" ref="AK3" r:id="rId1"/>
    <hyperlink xmlns:r="http://schemas.openxmlformats.org/officeDocument/2006/relationships" ref="AK4" r:id="rId2"/>
    <hyperlink xmlns:r="http://schemas.openxmlformats.org/officeDocument/2006/relationships" ref="AK5" r:id="rId3"/>
    <hyperlink xmlns:r="http://schemas.openxmlformats.org/officeDocument/2006/relationships" ref="AK6" r:id="rId4"/>
    <hyperlink xmlns:r="http://schemas.openxmlformats.org/officeDocument/2006/relationships" ref="AK7" r:id="rId5"/>
    <hyperlink xmlns:r="http://schemas.openxmlformats.org/officeDocument/2006/relationships" ref="AK8" r:id="rId6"/>
    <hyperlink xmlns:r="http://schemas.openxmlformats.org/officeDocument/2006/relationships" ref="AK9" r:id="rId7"/>
    <hyperlink xmlns:r="http://schemas.openxmlformats.org/officeDocument/2006/relationships" ref="AK10" r:id="rId8"/>
    <hyperlink xmlns:r="http://schemas.openxmlformats.org/officeDocument/2006/relationships" ref="AK11" r:id="rId9"/>
    <hyperlink xmlns:r="http://schemas.openxmlformats.org/officeDocument/2006/relationships" ref="AK12" r:id="rId10"/>
    <hyperlink xmlns:r="http://schemas.openxmlformats.org/officeDocument/2006/relationships" ref="AK13" r:id="rId11"/>
    <hyperlink xmlns:r="http://schemas.openxmlformats.org/officeDocument/2006/relationships" ref="AK14" r:id="rId12"/>
    <hyperlink xmlns:r="http://schemas.openxmlformats.org/officeDocument/2006/relationships" ref="AK15" r:id="rId13"/>
    <hyperlink xmlns:r="http://schemas.openxmlformats.org/officeDocument/2006/relationships" ref="AK16" r:id="rId14"/>
    <hyperlink xmlns:r="http://schemas.openxmlformats.org/officeDocument/2006/relationships" ref="AK17" r:id="rId15"/>
    <hyperlink xmlns:r="http://schemas.openxmlformats.org/officeDocument/2006/relationships" ref="AK18" r:id="rId16"/>
    <hyperlink xmlns:r="http://schemas.openxmlformats.org/officeDocument/2006/relationships" ref="AK19" r:id="rId17"/>
    <hyperlink xmlns:r="http://schemas.openxmlformats.org/officeDocument/2006/relationships" ref="AK20" r:id="rId18"/>
    <hyperlink xmlns:r="http://schemas.openxmlformats.org/officeDocument/2006/relationships" ref="AK21" r:id="rId19"/>
    <hyperlink xmlns:r="http://schemas.openxmlformats.org/officeDocument/2006/relationships" ref="AK22" r:id="rId20"/>
    <hyperlink xmlns:r="http://schemas.openxmlformats.org/officeDocument/2006/relationships" ref="AK23" r:id="rId21"/>
    <hyperlink xmlns:r="http://schemas.openxmlformats.org/officeDocument/2006/relationships" ref="AK24" r:id="rId22"/>
    <hyperlink xmlns:r="http://schemas.openxmlformats.org/officeDocument/2006/relationships" ref="AK25" r:id="rId23"/>
    <hyperlink xmlns:r="http://schemas.openxmlformats.org/officeDocument/2006/relationships" ref="AK26" r:id="rId24"/>
    <hyperlink xmlns:r="http://schemas.openxmlformats.org/officeDocument/2006/relationships" ref="AK27" r:id="rId25"/>
    <hyperlink xmlns:r="http://schemas.openxmlformats.org/officeDocument/2006/relationships" ref="AK28" r:id="rId26"/>
    <hyperlink xmlns:r="http://schemas.openxmlformats.org/officeDocument/2006/relationships" ref="AK29" r:id="rId27"/>
    <hyperlink xmlns:r="http://schemas.openxmlformats.org/officeDocument/2006/relationships" ref="AK30" r:id="rId28"/>
    <hyperlink xmlns:r="http://schemas.openxmlformats.org/officeDocument/2006/relationships" ref="AK31" r:id="rId29"/>
    <hyperlink xmlns:r="http://schemas.openxmlformats.org/officeDocument/2006/relationships" ref="AK32" r:id="rId30"/>
    <hyperlink xmlns:r="http://schemas.openxmlformats.org/officeDocument/2006/relationships" ref="AK33" r:id="rId31"/>
    <hyperlink xmlns:r="http://schemas.openxmlformats.org/officeDocument/2006/relationships" ref="AK34" r:id="rId32"/>
    <hyperlink xmlns:r="http://schemas.openxmlformats.org/officeDocument/2006/relationships" ref="AK35" r:id="rId33"/>
    <hyperlink xmlns:r="http://schemas.openxmlformats.org/officeDocument/2006/relationships" ref="AK36" r:id="rId34"/>
    <hyperlink xmlns:r="http://schemas.openxmlformats.org/officeDocument/2006/relationships" ref="AK37" r:id="rId35"/>
    <hyperlink xmlns:r="http://schemas.openxmlformats.org/officeDocument/2006/relationships" ref="AK38" r:id="rId36"/>
    <hyperlink xmlns:r="http://schemas.openxmlformats.org/officeDocument/2006/relationships" ref="AK39" r:id="rId37"/>
    <hyperlink xmlns:r="http://schemas.openxmlformats.org/officeDocument/2006/relationships" ref="AK40" r:id="rId38"/>
    <hyperlink xmlns:r="http://schemas.openxmlformats.org/officeDocument/2006/relationships" ref="AK41" r:id="rId39"/>
    <hyperlink xmlns:r="http://schemas.openxmlformats.org/officeDocument/2006/relationships" ref="AK42" r:id="rId40"/>
    <hyperlink xmlns:r="http://schemas.openxmlformats.org/officeDocument/2006/relationships" ref="AK43" r:id="rId41"/>
    <hyperlink xmlns:r="http://schemas.openxmlformats.org/officeDocument/2006/relationships" ref="AK44" r:id="rId42"/>
    <hyperlink xmlns:r="http://schemas.openxmlformats.org/officeDocument/2006/relationships" ref="AK45" r:id="rId43"/>
    <hyperlink xmlns:r="http://schemas.openxmlformats.org/officeDocument/2006/relationships" ref="AK46" r:id="rId44"/>
    <hyperlink xmlns:r="http://schemas.openxmlformats.org/officeDocument/2006/relationships" ref="AK47" r:id="rId45"/>
    <hyperlink xmlns:r="http://schemas.openxmlformats.org/officeDocument/2006/relationships" ref="AK48" r:id="rId46"/>
    <hyperlink xmlns:r="http://schemas.openxmlformats.org/officeDocument/2006/relationships" ref="AK49" r:id="rId47"/>
    <hyperlink xmlns:r="http://schemas.openxmlformats.org/officeDocument/2006/relationships" ref="AK50" r:id="rId48"/>
    <hyperlink xmlns:r="http://schemas.openxmlformats.org/officeDocument/2006/relationships" ref="AK51" r:id="rId49"/>
    <hyperlink xmlns:r="http://schemas.openxmlformats.org/officeDocument/2006/relationships" ref="AK52" r:id="rId50"/>
    <hyperlink xmlns:r="http://schemas.openxmlformats.org/officeDocument/2006/relationships" ref="AK53" r:id="rId51"/>
    <hyperlink xmlns:r="http://schemas.openxmlformats.org/officeDocument/2006/relationships" ref="AK54" r:id="rId52"/>
    <hyperlink xmlns:r="http://schemas.openxmlformats.org/officeDocument/2006/relationships" ref="AK55" r:id="rId53"/>
    <hyperlink xmlns:r="http://schemas.openxmlformats.org/officeDocument/2006/relationships" ref="AK56" r:id="rId54"/>
    <hyperlink xmlns:r="http://schemas.openxmlformats.org/officeDocument/2006/relationships" ref="AK57" r:id="rId55"/>
    <hyperlink xmlns:r="http://schemas.openxmlformats.org/officeDocument/2006/relationships" ref="AK58" r:id="rId56"/>
    <hyperlink xmlns:r="http://schemas.openxmlformats.org/officeDocument/2006/relationships" ref="AK59" r:id="rId57"/>
    <hyperlink xmlns:r="http://schemas.openxmlformats.org/officeDocument/2006/relationships" ref="AK60" r:id="rId58"/>
    <hyperlink xmlns:r="http://schemas.openxmlformats.org/officeDocument/2006/relationships" ref="AK61" r:id="rId59"/>
    <hyperlink xmlns:r="http://schemas.openxmlformats.org/officeDocument/2006/relationships" ref="AK62" r:id="rId60"/>
    <hyperlink xmlns:r="http://schemas.openxmlformats.org/officeDocument/2006/relationships" ref="AK63" r:id="rId61"/>
    <hyperlink xmlns:r="http://schemas.openxmlformats.org/officeDocument/2006/relationships" ref="AK64" r:id="rId62"/>
    <hyperlink xmlns:r="http://schemas.openxmlformats.org/officeDocument/2006/relationships" ref="AK65" r:id="rId63"/>
    <hyperlink xmlns:r="http://schemas.openxmlformats.org/officeDocument/2006/relationships" ref="AK66" r:id="rId64"/>
    <hyperlink xmlns:r="http://schemas.openxmlformats.org/officeDocument/2006/relationships" ref="AK67" r:id="rId65"/>
    <hyperlink xmlns:r="http://schemas.openxmlformats.org/officeDocument/2006/relationships" ref="AK68" r:id="rId66"/>
    <hyperlink xmlns:r="http://schemas.openxmlformats.org/officeDocument/2006/relationships" ref="AK69" r:id="rId67"/>
    <hyperlink xmlns:r="http://schemas.openxmlformats.org/officeDocument/2006/relationships" ref="AK70" r:id="rId68"/>
    <hyperlink xmlns:r="http://schemas.openxmlformats.org/officeDocument/2006/relationships" ref="AK71" r:id="rId69"/>
    <hyperlink xmlns:r="http://schemas.openxmlformats.org/officeDocument/2006/relationships" ref="AK72" r:id="rId70"/>
    <hyperlink xmlns:r="http://schemas.openxmlformats.org/officeDocument/2006/relationships" ref="AK73" r:id="rId71"/>
    <hyperlink xmlns:r="http://schemas.openxmlformats.org/officeDocument/2006/relationships" ref="AK74" r:id="rId72"/>
    <hyperlink xmlns:r="http://schemas.openxmlformats.org/officeDocument/2006/relationships" ref="AK75" r:id="rId73"/>
    <hyperlink xmlns:r="http://schemas.openxmlformats.org/officeDocument/2006/relationships" ref="AK76" r:id="rId74"/>
    <hyperlink xmlns:r="http://schemas.openxmlformats.org/officeDocument/2006/relationships" ref="AK77" r:id="rId75"/>
    <hyperlink xmlns:r="http://schemas.openxmlformats.org/officeDocument/2006/relationships" ref="AK78" r:id="rId76"/>
    <hyperlink xmlns:r="http://schemas.openxmlformats.org/officeDocument/2006/relationships" ref="AK79" r:id="rId77"/>
    <hyperlink xmlns:r="http://schemas.openxmlformats.org/officeDocument/2006/relationships" ref="AK80" r:id="rId78"/>
    <hyperlink xmlns:r="http://schemas.openxmlformats.org/officeDocument/2006/relationships" ref="AK81" r:id="rId79"/>
    <hyperlink xmlns:r="http://schemas.openxmlformats.org/officeDocument/2006/relationships" ref="AK82" r:id="rId80"/>
    <hyperlink xmlns:r="http://schemas.openxmlformats.org/officeDocument/2006/relationships" ref="AK83" r:id="rId81"/>
    <hyperlink xmlns:r="http://schemas.openxmlformats.org/officeDocument/2006/relationships" ref="AK84" r:id="rId82"/>
    <hyperlink xmlns:r="http://schemas.openxmlformats.org/officeDocument/2006/relationships" ref="AK85" r:id="rId83"/>
    <hyperlink xmlns:r="http://schemas.openxmlformats.org/officeDocument/2006/relationships" ref="AK86" r:id="rId84"/>
    <hyperlink xmlns:r="http://schemas.openxmlformats.org/officeDocument/2006/relationships" ref="AK87" r:id="rId85"/>
    <hyperlink xmlns:r="http://schemas.openxmlformats.org/officeDocument/2006/relationships" ref="AK88" r:id="rId86"/>
    <hyperlink xmlns:r="http://schemas.openxmlformats.org/officeDocument/2006/relationships" ref="AK89" r:id="rId87"/>
    <hyperlink xmlns:r="http://schemas.openxmlformats.org/officeDocument/2006/relationships" ref="AK90" r:id="rId88"/>
    <hyperlink xmlns:r="http://schemas.openxmlformats.org/officeDocument/2006/relationships" ref="AK91" r:id="rId89"/>
    <hyperlink xmlns:r="http://schemas.openxmlformats.org/officeDocument/2006/relationships" ref="AK92" r:id="rId90"/>
    <hyperlink xmlns:r="http://schemas.openxmlformats.org/officeDocument/2006/relationships" ref="AK93" r:id="rId91"/>
    <hyperlink xmlns:r="http://schemas.openxmlformats.org/officeDocument/2006/relationships" ref="AK94" r:id="rId92"/>
    <hyperlink xmlns:r="http://schemas.openxmlformats.org/officeDocument/2006/relationships" ref="AK95" r:id="rId93"/>
    <hyperlink xmlns:r="http://schemas.openxmlformats.org/officeDocument/2006/relationships" ref="AK96" r:id="rId94"/>
    <hyperlink xmlns:r="http://schemas.openxmlformats.org/officeDocument/2006/relationships" ref="AK97" r:id="rId95"/>
    <hyperlink xmlns:r="http://schemas.openxmlformats.org/officeDocument/2006/relationships" ref="AK98" r:id="rId96"/>
    <hyperlink xmlns:r="http://schemas.openxmlformats.org/officeDocument/2006/relationships" ref="AK99" r:id="rId97"/>
    <hyperlink xmlns:r="http://schemas.openxmlformats.org/officeDocument/2006/relationships" ref="AK100" r:id="rId98"/>
    <hyperlink xmlns:r="http://schemas.openxmlformats.org/officeDocument/2006/relationships" ref="AK101" r:id="rId99"/>
    <hyperlink xmlns:r="http://schemas.openxmlformats.org/officeDocument/2006/relationships" ref="AK102" r:id="rId100"/>
    <hyperlink xmlns:r="http://schemas.openxmlformats.org/officeDocument/2006/relationships" ref="AK103" r:id="rId101"/>
    <hyperlink xmlns:r="http://schemas.openxmlformats.org/officeDocument/2006/relationships" ref="AK104" r:id="rId102"/>
    <hyperlink xmlns:r="http://schemas.openxmlformats.org/officeDocument/2006/relationships" ref="AK105" r:id="rId103"/>
    <hyperlink xmlns:r="http://schemas.openxmlformats.org/officeDocument/2006/relationships" ref="AK106" r:id="rId104"/>
    <hyperlink xmlns:r="http://schemas.openxmlformats.org/officeDocument/2006/relationships" ref="AK107" r:id="rId105"/>
    <hyperlink xmlns:r="http://schemas.openxmlformats.org/officeDocument/2006/relationships" ref="AK108" r:id="rId106"/>
    <hyperlink xmlns:r="http://schemas.openxmlformats.org/officeDocument/2006/relationships" ref="AK109" r:id="rId107"/>
    <hyperlink xmlns:r="http://schemas.openxmlformats.org/officeDocument/2006/relationships" ref="AK110" r:id="rId108"/>
    <hyperlink xmlns:r="http://schemas.openxmlformats.org/officeDocument/2006/relationships" ref="AK111" r:id="rId109"/>
    <hyperlink xmlns:r="http://schemas.openxmlformats.org/officeDocument/2006/relationships" ref="AK112" r:id="rId110"/>
    <hyperlink xmlns:r="http://schemas.openxmlformats.org/officeDocument/2006/relationships" ref="AK113" r:id="rId111"/>
    <hyperlink xmlns:r="http://schemas.openxmlformats.org/officeDocument/2006/relationships" ref="AK114" r:id="rId112"/>
    <hyperlink xmlns:r="http://schemas.openxmlformats.org/officeDocument/2006/relationships" ref="AK115" r:id="rId113"/>
    <hyperlink xmlns:r="http://schemas.openxmlformats.org/officeDocument/2006/relationships" ref="AK116" r:id="rId114"/>
    <hyperlink xmlns:r="http://schemas.openxmlformats.org/officeDocument/2006/relationships" ref="AK117" r:id="rId115"/>
    <hyperlink xmlns:r="http://schemas.openxmlformats.org/officeDocument/2006/relationships" ref="AK118" r:id="rId116"/>
    <hyperlink xmlns:r="http://schemas.openxmlformats.org/officeDocument/2006/relationships" ref="AK119" r:id="rId117"/>
    <hyperlink xmlns:r="http://schemas.openxmlformats.org/officeDocument/2006/relationships" ref="AK120" r:id="rId118"/>
    <hyperlink xmlns:r="http://schemas.openxmlformats.org/officeDocument/2006/relationships" ref="AK121" r:id="rId119"/>
    <hyperlink xmlns:r="http://schemas.openxmlformats.org/officeDocument/2006/relationships" ref="AK122" r:id="rId120"/>
    <hyperlink xmlns:r="http://schemas.openxmlformats.org/officeDocument/2006/relationships" ref="AK123" r:id="rId121"/>
    <hyperlink xmlns:r="http://schemas.openxmlformats.org/officeDocument/2006/relationships" ref="AK124" r:id="rId122"/>
    <hyperlink xmlns:r="http://schemas.openxmlformats.org/officeDocument/2006/relationships" ref="AK125" r:id="rId123"/>
    <hyperlink xmlns:r="http://schemas.openxmlformats.org/officeDocument/2006/relationships" ref="AK126" r:id="rId124"/>
    <hyperlink xmlns:r="http://schemas.openxmlformats.org/officeDocument/2006/relationships" ref="AK127" r:id="rId125"/>
    <hyperlink xmlns:r="http://schemas.openxmlformats.org/officeDocument/2006/relationships" ref="AK128" r:id="rId126"/>
    <hyperlink xmlns:r="http://schemas.openxmlformats.org/officeDocument/2006/relationships" ref="AK129" r:id="rId127"/>
    <hyperlink xmlns:r="http://schemas.openxmlformats.org/officeDocument/2006/relationships" ref="AK130" r:id="rId128"/>
    <hyperlink xmlns:r="http://schemas.openxmlformats.org/officeDocument/2006/relationships" ref="AK131" r:id="rId129"/>
    <hyperlink xmlns:r="http://schemas.openxmlformats.org/officeDocument/2006/relationships" ref="AK132" r:id="rId130"/>
    <hyperlink xmlns:r="http://schemas.openxmlformats.org/officeDocument/2006/relationships" ref="AK133" r:id="rId131"/>
    <hyperlink xmlns:r="http://schemas.openxmlformats.org/officeDocument/2006/relationships" ref="AK134" r:id="rId132"/>
    <hyperlink xmlns:r="http://schemas.openxmlformats.org/officeDocument/2006/relationships" ref="AK135" r:id="rId133"/>
    <hyperlink xmlns:r="http://schemas.openxmlformats.org/officeDocument/2006/relationships" ref="AK136" r:id="rId134"/>
    <hyperlink xmlns:r="http://schemas.openxmlformats.org/officeDocument/2006/relationships" ref="AK137" r:id="rId135"/>
    <hyperlink xmlns:r="http://schemas.openxmlformats.org/officeDocument/2006/relationships" ref="AK138" r:id="rId136"/>
    <hyperlink xmlns:r="http://schemas.openxmlformats.org/officeDocument/2006/relationships" ref="AK139" r:id="rId137"/>
    <hyperlink xmlns:r="http://schemas.openxmlformats.org/officeDocument/2006/relationships" ref="AK140" r:id="rId138"/>
    <hyperlink xmlns:r="http://schemas.openxmlformats.org/officeDocument/2006/relationships" ref="AK141" r:id="rId139"/>
    <hyperlink xmlns:r="http://schemas.openxmlformats.org/officeDocument/2006/relationships" ref="AK142" r:id="rId140"/>
    <hyperlink xmlns:r="http://schemas.openxmlformats.org/officeDocument/2006/relationships" ref="AK143" r:id="rId141"/>
    <hyperlink xmlns:r="http://schemas.openxmlformats.org/officeDocument/2006/relationships" ref="AK144" r:id="rId142"/>
    <hyperlink xmlns:r="http://schemas.openxmlformats.org/officeDocument/2006/relationships" ref="AK145" r:id="rId143"/>
    <hyperlink xmlns:r="http://schemas.openxmlformats.org/officeDocument/2006/relationships" ref="AK146" r:id="rId144"/>
    <hyperlink xmlns:r="http://schemas.openxmlformats.org/officeDocument/2006/relationships" ref="AK147" r:id="rId145"/>
    <hyperlink xmlns:r="http://schemas.openxmlformats.org/officeDocument/2006/relationships" ref="AK148" r:id="rId146"/>
    <hyperlink xmlns:r="http://schemas.openxmlformats.org/officeDocument/2006/relationships" ref="AK149" r:id="rId147"/>
    <hyperlink xmlns:r="http://schemas.openxmlformats.org/officeDocument/2006/relationships" ref="AK150" r:id="rId148"/>
    <hyperlink xmlns:r="http://schemas.openxmlformats.org/officeDocument/2006/relationships" ref="AK151" r:id="rId149"/>
    <hyperlink xmlns:r="http://schemas.openxmlformats.org/officeDocument/2006/relationships" ref="AK152" r:id="rId150"/>
    <hyperlink xmlns:r="http://schemas.openxmlformats.org/officeDocument/2006/relationships" ref="AK153" r:id="rId151"/>
    <hyperlink xmlns:r="http://schemas.openxmlformats.org/officeDocument/2006/relationships" ref="AK154" r:id="rId152"/>
    <hyperlink xmlns:r="http://schemas.openxmlformats.org/officeDocument/2006/relationships" ref="AK155" r:id="rId153"/>
    <hyperlink xmlns:r="http://schemas.openxmlformats.org/officeDocument/2006/relationships" ref="AK156" r:id="rId154"/>
    <hyperlink xmlns:r="http://schemas.openxmlformats.org/officeDocument/2006/relationships" ref="AK157" r:id="rId155"/>
    <hyperlink xmlns:r="http://schemas.openxmlformats.org/officeDocument/2006/relationships" ref="AK158" r:id="rId156"/>
    <hyperlink xmlns:r="http://schemas.openxmlformats.org/officeDocument/2006/relationships" ref="AK159" r:id="rId157"/>
    <hyperlink xmlns:r="http://schemas.openxmlformats.org/officeDocument/2006/relationships" ref="AK160" r:id="rId158"/>
    <hyperlink xmlns:r="http://schemas.openxmlformats.org/officeDocument/2006/relationships" ref="AK161" r:id="rId159"/>
    <hyperlink xmlns:r="http://schemas.openxmlformats.org/officeDocument/2006/relationships" ref="AK162" r:id="rId160"/>
    <hyperlink xmlns:r="http://schemas.openxmlformats.org/officeDocument/2006/relationships" ref="AK163" r:id="rId161"/>
    <hyperlink xmlns:r="http://schemas.openxmlformats.org/officeDocument/2006/relationships" ref="AK164" r:id="rId162"/>
    <hyperlink xmlns:r="http://schemas.openxmlformats.org/officeDocument/2006/relationships" ref="AK165" r:id="rId163"/>
    <hyperlink xmlns:r="http://schemas.openxmlformats.org/officeDocument/2006/relationships" ref="AK166" r:id="rId164"/>
    <hyperlink xmlns:r="http://schemas.openxmlformats.org/officeDocument/2006/relationships" ref="AK167" r:id="rId165"/>
    <hyperlink xmlns:r="http://schemas.openxmlformats.org/officeDocument/2006/relationships" ref="AK168" r:id="rId166"/>
    <hyperlink xmlns:r="http://schemas.openxmlformats.org/officeDocument/2006/relationships" ref="AK169" r:id="rId167"/>
    <hyperlink xmlns:r="http://schemas.openxmlformats.org/officeDocument/2006/relationships" ref="AK170" r:id="rId168"/>
    <hyperlink xmlns:r="http://schemas.openxmlformats.org/officeDocument/2006/relationships" ref="AK171" r:id="rId169"/>
    <hyperlink xmlns:r="http://schemas.openxmlformats.org/officeDocument/2006/relationships" ref="AK172" r:id="rId170"/>
    <hyperlink xmlns:r="http://schemas.openxmlformats.org/officeDocument/2006/relationships" ref="AK173" r:id="rId171"/>
    <hyperlink xmlns:r="http://schemas.openxmlformats.org/officeDocument/2006/relationships" ref="AK174" r:id="rId172"/>
    <hyperlink xmlns:r="http://schemas.openxmlformats.org/officeDocument/2006/relationships" ref="AK175" r:id="rId173"/>
    <hyperlink xmlns:r="http://schemas.openxmlformats.org/officeDocument/2006/relationships" ref="AK176" r:id="rId174"/>
    <hyperlink xmlns:r="http://schemas.openxmlformats.org/officeDocument/2006/relationships" ref="AK177" r:id="rId175"/>
    <hyperlink xmlns:r="http://schemas.openxmlformats.org/officeDocument/2006/relationships" ref="AK178" r:id="rId176"/>
    <hyperlink xmlns:r="http://schemas.openxmlformats.org/officeDocument/2006/relationships" ref="AK179" r:id="rId177"/>
    <hyperlink xmlns:r="http://schemas.openxmlformats.org/officeDocument/2006/relationships" ref="AK180" r:id="rId178"/>
    <hyperlink xmlns:r="http://schemas.openxmlformats.org/officeDocument/2006/relationships" ref="AK181" r:id="rId179"/>
    <hyperlink xmlns:r="http://schemas.openxmlformats.org/officeDocument/2006/relationships" ref="AK182" r:id="rId180"/>
    <hyperlink xmlns:r="http://schemas.openxmlformats.org/officeDocument/2006/relationships" ref="AK183" r:id="rId181"/>
    <hyperlink xmlns:r="http://schemas.openxmlformats.org/officeDocument/2006/relationships" ref="AK184" r:id="rId182"/>
    <hyperlink xmlns:r="http://schemas.openxmlformats.org/officeDocument/2006/relationships" ref="AK185" r:id="rId183"/>
    <hyperlink xmlns:r="http://schemas.openxmlformats.org/officeDocument/2006/relationships" ref="AK186" r:id="rId184"/>
    <hyperlink xmlns:r="http://schemas.openxmlformats.org/officeDocument/2006/relationships" ref="AK187" r:id="rId185"/>
    <hyperlink xmlns:r="http://schemas.openxmlformats.org/officeDocument/2006/relationships" ref="AK188" r:id="rId186"/>
    <hyperlink xmlns:r="http://schemas.openxmlformats.org/officeDocument/2006/relationships" ref="AK189" r:id="rId187"/>
    <hyperlink xmlns:r="http://schemas.openxmlformats.org/officeDocument/2006/relationships" ref="AK190" r:id="rId188"/>
    <hyperlink xmlns:r="http://schemas.openxmlformats.org/officeDocument/2006/relationships" ref="AK191" r:id="rId189"/>
    <hyperlink xmlns:r="http://schemas.openxmlformats.org/officeDocument/2006/relationships" ref="AK192" r:id="rId1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F7A35"/>
    <outlinePr summaryBelow="1" summaryRight="1"/>
    <pageSetUpPr/>
  </sheetPr>
  <dimension ref="A1:C31"/>
  <sheetViews>
    <sheetView showGridLines="0" tabSelected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0" customWidth="1" min="3" max="3"/>
  </cols>
  <sheetData>
    <row r="1" ht="30" customHeight="1">
      <c r="A1" s="1" t="inlineStr">
        <is>
          <t>สรุปข้อมูลสถานที่กรุงเทพฯ</t>
        </is>
      </c>
    </row>
    <row r="2">
      <c r="A2" s="2" t="inlineStr">
        <is>
          <t>ตัวเลขเป็นสูตรนับจากชีต places อัปเดตเองเมื่อแก้หรือเพิ่มแถว</t>
        </is>
      </c>
    </row>
    <row r="4" ht="22" customHeight="1">
      <c r="A4" s="65" t="inlineStr">
        <is>
          <t>หมวด</t>
        </is>
      </c>
      <c r="B4" s="66" t="inlineStr">
        <is>
          <t>จำนวน</t>
        </is>
      </c>
      <c r="C4" s="66" t="inlineStr">
        <is>
          <t>เป้าหมาย #21</t>
        </is>
      </c>
    </row>
    <row r="5" ht="20" customHeight="1">
      <c r="A5" s="53" t="inlineStr">
        <is>
          <t>attraction</t>
        </is>
      </c>
      <c r="B5" s="67">
        <f>COUNTIF(places!$B$3:$B$2000,"attraction")</f>
        <v/>
      </c>
      <c r="C5" s="51" t="inlineStr">
        <is>
          <t>≥ 25</t>
        </is>
      </c>
    </row>
    <row r="6" ht="20" customHeight="1">
      <c r="A6" s="68" t="inlineStr">
        <is>
          <t>restaurant</t>
        </is>
      </c>
      <c r="B6" s="69">
        <f>COUNTIF(places!$B$3:$B$2000,"restaurant")</f>
        <v/>
      </c>
      <c r="C6" s="70" t="inlineStr">
        <is>
          <t>≥ 20</t>
        </is>
      </c>
    </row>
    <row r="7" ht="20" customHeight="1">
      <c r="A7" s="53" t="inlineStr">
        <is>
          <t xml:space="preserve">  └ ใช้เป็นมื้อหลักได้ (Y)</t>
        </is>
      </c>
      <c r="B7" s="67">
        <f>COUNTIFS(places!$B$3:$B$2000,"restaurant",places!$U$3:$U$2000,"Y")</f>
        <v/>
      </c>
      <c r="C7" s="51" t="inlineStr"/>
    </row>
    <row r="8" ht="20" customHeight="1">
      <c r="A8" s="68" t="inlineStr">
        <is>
          <t>accommodation</t>
        </is>
      </c>
      <c r="B8" s="69">
        <f>COUNTIF(places!$B$3:$B$2000,"accommodation")</f>
        <v/>
      </c>
      <c r="C8" s="70" t="inlineStr">
        <is>
          <t>≥ 8</t>
        </is>
      </c>
    </row>
    <row r="9" ht="20" customHeight="1">
      <c r="A9" s="53" t="inlineStr">
        <is>
          <t>แถวที่ต้องตรวจ (สีเหลือง)</t>
        </is>
      </c>
      <c r="B9" s="67">
        <f>COUNTIF(places!$V$3:$V$2000,"?*")</f>
        <v/>
      </c>
      <c r="C9" s="51" t="inlineStr">
        <is>
          <t>0</t>
        </is>
      </c>
    </row>
    <row r="11" ht="22" customHeight="1">
      <c r="A11" s="71" t="inlineStr">
        <is>
          <t>ระดับราคา (restaurant)</t>
        </is>
      </c>
      <c r="B11" s="72" t="inlineStr">
        <is>
          <t>จำนวน</t>
        </is>
      </c>
      <c r="C11" s="72" t="inlineStr">
        <is>
          <t>ความหมาย (ต่อคนต่อมื้อ)</t>
        </is>
      </c>
    </row>
    <row r="12" ht="20" customHeight="1">
      <c r="A12" s="53" t="inlineStr">
        <is>
          <t>1  ฿</t>
        </is>
      </c>
      <c r="B12" s="67">
        <f>COUNTIFS(places!$B$3:$B$2000,"restaurant",places!$H$3:$H$2000,1)</f>
        <v/>
      </c>
      <c r="C12" s="51" t="inlineStr">
        <is>
          <t>ไม่เกิน ~150 บาท</t>
        </is>
      </c>
    </row>
    <row r="13" ht="20" customHeight="1">
      <c r="A13" s="68" t="inlineStr">
        <is>
          <t>2  ฿฿</t>
        </is>
      </c>
      <c r="B13" s="69">
        <f>COUNTIFS(places!$B$3:$B$2000,"restaurant",places!$H$3:$H$2000,2)</f>
        <v/>
      </c>
      <c r="C13" s="70" t="inlineStr">
        <is>
          <t>~150–400 บาท</t>
        </is>
      </c>
    </row>
    <row r="14" ht="20" customHeight="1">
      <c r="A14" s="53" t="inlineStr">
        <is>
          <t>3  ฿฿฿</t>
        </is>
      </c>
      <c r="B14" s="67">
        <f>COUNTIFS(places!$B$3:$B$2000,"restaurant",places!$H$3:$H$2000,3)</f>
        <v/>
      </c>
      <c r="C14" s="51" t="inlineStr">
        <is>
          <t>~400–1,000 บาท</t>
        </is>
      </c>
    </row>
    <row r="15" ht="20" customHeight="1">
      <c r="A15" s="68" t="inlineStr">
        <is>
          <t>4  ฿฿฿฿</t>
        </is>
      </c>
      <c r="B15" s="69">
        <f>COUNTIFS(places!$B$3:$B$2000,"restaurant",places!$H$3:$H$2000,4)</f>
        <v/>
      </c>
      <c r="C15" s="70" t="inlineStr">
        <is>
          <t>มากกว่า ~1,000 บาท</t>
        </is>
      </c>
    </row>
    <row r="17" ht="22" customHeight="1">
      <c r="A17" s="73" t="inlineStr">
        <is>
          <t>ย่าน</t>
        </is>
      </c>
      <c r="B17" s="74" t="inlineStr">
        <is>
          <t>จำนวนทั้งหมด</t>
        </is>
      </c>
      <c r="C17" s="74" t="inlineStr"/>
    </row>
    <row r="18" ht="20" customHeight="1">
      <c r="A18" s="53" t="inlineStr">
        <is>
          <t>ริมแม่น้ำเจ้าพระยา</t>
        </is>
      </c>
      <c r="B18" s="67">
        <f>COUNTIF(places!$D$3:$D$2000,"ริมแม่น้ำเจ้าพระยา")</f>
        <v/>
      </c>
      <c r="C18" s="51" t="inlineStr"/>
    </row>
    <row r="19" ht="20" customHeight="1">
      <c r="A19" s="68" t="inlineStr">
        <is>
          <t>สยาม/ปทุมวัน</t>
        </is>
      </c>
      <c r="B19" s="69">
        <f>COUNTIF(places!$D$3:$D$2000,"สยาม/ปทุมวัน")</f>
        <v/>
      </c>
      <c r="C19" s="70" t="inlineStr"/>
    </row>
    <row r="20" ht="20" customHeight="1">
      <c r="A20" s="53" t="inlineStr">
        <is>
          <t>เกาะรัตนโกสินทร์</t>
        </is>
      </c>
      <c r="B20" s="67">
        <f>COUNTIF(places!$D$3:$D$2000,"เกาะรัตนโกสินทร์")</f>
        <v/>
      </c>
      <c r="C20" s="51" t="inlineStr"/>
    </row>
    <row r="21" ht="20" customHeight="1">
      <c r="A21" s="68" t="inlineStr">
        <is>
          <t>จตุจักร</t>
        </is>
      </c>
      <c r="B21" s="69">
        <f>COUNTIF(places!$D$3:$D$2000,"จตุจักร")</f>
        <v/>
      </c>
      <c r="C21" s="70" t="inlineStr"/>
    </row>
    <row r="22" ht="20" customHeight="1">
      <c r="A22" s="53" t="inlineStr">
        <is>
          <t>สุขุมวิท</t>
        </is>
      </c>
      <c r="B22" s="67">
        <f>COUNTIF(places!$D$3:$D$2000,"สุขุมวิท")</f>
        <v/>
      </c>
      <c r="C22" s="51" t="inlineStr"/>
    </row>
    <row r="23" ht="20" customHeight="1">
      <c r="A23" s="68" t="inlineStr">
        <is>
          <t>คลองบางหลวง</t>
        </is>
      </c>
      <c r="B23" s="69">
        <f>COUNTIF(places!$D$3:$D$2000,"คลองบางหลวง")</f>
        <v/>
      </c>
      <c r="C23" s="70" t="inlineStr"/>
    </row>
    <row r="24" ht="20" customHeight="1">
      <c r="A24" s="53" t="inlineStr">
        <is>
          <t>บรรทัดทอง</t>
        </is>
      </c>
      <c r="B24" s="67">
        <f>COUNTIF(places!$D$3:$D$2000,"บรรทัดทอง")</f>
        <v/>
      </c>
      <c r="C24" s="51" t="inlineStr"/>
    </row>
    <row r="25" ht="20" customHeight="1">
      <c r="A25" s="68" t="inlineStr">
        <is>
          <t>ปากคลองตลาด</t>
        </is>
      </c>
      <c r="B25" s="69">
        <f>COUNTIF(places!$D$3:$D$2000,"ปากคลองตลาด")</f>
        <v/>
      </c>
      <c r="C25" s="70" t="inlineStr"/>
    </row>
    <row r="26" ht="20" customHeight="1">
      <c r="A26" s="53" t="inlineStr">
        <is>
          <t>บางลำพู</t>
        </is>
      </c>
      <c r="B26" s="67">
        <f>COUNTIF(places!$D$3:$D$2000,"บางลำพู")</f>
        <v/>
      </c>
      <c r="C26" s="51" t="inlineStr"/>
    </row>
    <row r="27" ht="20" customHeight="1">
      <c r="A27" s="68" t="inlineStr">
        <is>
          <t>เยาวราช</t>
        </is>
      </c>
      <c r="B27" s="69">
        <f>COUNTIF(places!$D$3:$D$2000,"เยาวราช")</f>
        <v/>
      </c>
      <c r="C27" s="70" t="inlineStr"/>
    </row>
    <row r="28" ht="20" customHeight="1">
      <c r="A28" s="53" t="inlineStr">
        <is>
          <t>เอกมัย</t>
        </is>
      </c>
      <c r="B28" s="67">
        <f>COUNTIF(places!$D$3:$D$2000,"เอกมัย")</f>
        <v/>
      </c>
      <c r="C28" s="51" t="inlineStr"/>
    </row>
    <row r="29" ht="20" customHeight="1">
      <c r="A29" s="68" t="inlineStr">
        <is>
          <t>คันนายาว</t>
        </is>
      </c>
      <c r="B29" s="69">
        <f>COUNTIF(places!$D$3:$D$2000,"คันนายาว")</f>
        <v/>
      </c>
      <c r="C29" s="70" t="inlineStr"/>
    </row>
    <row r="30" ht="20" customHeight="1">
      <c r="A30" s="53" t="inlineStr">
        <is>
          <t>ตลาดพลู-ภาษีเจริญ</t>
        </is>
      </c>
      <c r="B30" s="67">
        <f>COUNTIF(places!$D$3:$D$2000,"ตลาดพลู-ภาษีเจริญ")</f>
        <v/>
      </c>
      <c r="C30" s="51" t="inlineStr"/>
    </row>
    <row r="31" ht="20" customHeight="1">
      <c r="A31" s="68" t="inlineStr">
        <is>
          <t>สีลม</t>
        </is>
      </c>
      <c r="B31" s="69">
        <f>COUNTIF(places!$D$3:$D$2000,"สีลม")</f>
        <v/>
      </c>
      <c r="C31" s="70" t="inlineStr"/>
    </row>
  </sheetData>
  <conditionalFormatting sqref="B5">
    <cfRule type="cellIs" priority="1" operator="lessThan" dxfId="10">
      <formula>25</formula>
    </cfRule>
  </conditionalFormatting>
  <conditionalFormatting sqref="B6">
    <cfRule type="cellIs" priority="2" operator="lessThan" dxfId="10">
      <formula>20</formula>
    </cfRule>
  </conditionalFormatting>
  <conditionalFormatting sqref="B8">
    <cfRule type="cellIs" priority="3" operator="lessThan" dxfId="10">
      <formula>8</formula>
    </cfRule>
  </conditionalFormatting>
  <conditionalFormatting sqref="B9">
    <cfRule type="cellIs" priority="4" operator="greaterThan" dxfId="1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A3AF"/>
    <outlinePr summaryBelow="1" summaryRight="1"/>
    <pageSetUpPr/>
  </sheetPr>
  <dimension ref="A1:L172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34" customWidth="1" min="4" max="4"/>
    <col width="12" customWidth="1" min="5" max="5"/>
    <col width="12" customWidth="1" min="6" max="6"/>
    <col width="14" customWidth="1" min="7" max="7"/>
    <col width="40" customWidth="1" min="8" max="8"/>
    <col width="34" customWidth="1" min="9" max="9"/>
    <col width="16" customWidth="1" min="10" max="10"/>
    <col width="40" customWidth="1" min="11" max="11"/>
    <col width="30" customWidth="1" min="12" max="12"/>
  </cols>
  <sheetData>
    <row r="1" ht="30" customHeight="1">
      <c r="A1" s="75" t="inlineStr">
        <is>
          <t>ลำดับ</t>
        </is>
      </c>
      <c r="B1" s="75" t="inlineStr">
        <is>
          <t>แหล่งท่องเที่ยว</t>
        </is>
      </c>
      <c r="C1" s="75" t="inlineStr">
        <is>
          <t>ประเภท</t>
        </is>
      </c>
      <c r="D1" s="75" t="inlineStr">
        <is>
          <t>ชื่อร้าน</t>
        </is>
      </c>
      <c r="E1" s="75" t="inlineStr">
        <is>
          <t>ละติจูด</t>
        </is>
      </c>
      <c r="F1" s="75" t="inlineStr">
        <is>
          <t>ลองจิจูด</t>
        </is>
      </c>
      <c r="G1" s="75" t="inlineStr">
        <is>
          <t>ระยะห่างจากแหล่งท่องเที่ยว (กม.)</t>
        </is>
      </c>
      <c r="H1" s="75" t="inlineStr">
        <is>
          <t>ที่อยู่</t>
        </is>
      </c>
      <c r="I1" s="75" t="inlineStr">
        <is>
          <t>วัน-เวลาเปิดให้บริการ</t>
        </is>
      </c>
      <c r="J1" s="75" t="inlineStr">
        <is>
          <t>เบอร์โทร</t>
        </is>
      </c>
      <c r="K1" s="75" t="inlineStr">
        <is>
          <t>ลิงก์ Google Maps</t>
        </is>
      </c>
      <c r="L1" s="75" t="inlineStr">
        <is>
          <t>สถานะ (ตรวจสอบ 3 ต.ค. 2569)</t>
        </is>
      </c>
    </row>
    <row r="2">
      <c r="A2" s="76" t="n">
        <v>1</v>
      </c>
      <c r="B2" s="76" t="inlineStr">
        <is>
          <t>SkyWalk King Power Mahanakhon (คิงเพาเวอร์ มหานคร)</t>
        </is>
      </c>
      <c r="C2" s="76" t="inlineStr">
        <is>
          <t>ร้านอาหาร</t>
        </is>
      </c>
      <c r="D2" s="76" t="inlineStr">
        <is>
          <t>Mahanakhon Eatery</t>
        </is>
      </c>
      <c r="E2" s="76" t="n">
        <v>13.7239054</v>
      </c>
      <c r="F2" s="76" t="n">
        <v>100.5286479</v>
      </c>
      <c r="G2" s="76" t="n">
        <v>0.02</v>
      </c>
      <c r="H2" s="76" t="inlineStr">
        <is>
          <t>96 ถ.นราธิวาสราชนครินทร์ สีลม บางรัก</t>
        </is>
      </c>
      <c r="I2" s="76" t="inlineStr">
        <is>
          <t>ทุกวัน 08:00-22:00</t>
        </is>
      </c>
      <c r="J2" s="76" t="inlineStr">
        <is>
          <t>+66 2 677 8721</t>
        </is>
      </c>
      <c r="K2" s="77" t="inlineStr">
        <is>
          <t>https://www.google.com/maps/search/?api=1&amp;query_place_id=ChIJpYfHXaef4jARpiefh3BHf1k</t>
        </is>
      </c>
      <c r="L2" s="76" t="inlineStr">
        <is>
          <t>เปิดให้บริการ (มีเวลาทำการใน Google Maps)</t>
        </is>
      </c>
    </row>
    <row r="3">
      <c r="A3" s="78" t="n">
        <v>2</v>
      </c>
      <c r="B3" s="78" t="inlineStr">
        <is>
          <t>SkyWalk King Power Mahanakhon (คิงเพาเวอร์ มหานคร)</t>
        </is>
      </c>
      <c r="C3" s="78" t="inlineStr">
        <is>
          <t>ร้านอาหาร</t>
        </is>
      </c>
      <c r="D3" s="78" t="inlineStr">
        <is>
          <t>Babyccino Mahanakhon</t>
        </is>
      </c>
      <c r="E3" s="78" t="n">
        <v>13.7238599</v>
      </c>
      <c r="F3" s="78" t="n">
        <v>100.5286813</v>
      </c>
      <c r="G3" s="78" t="n">
        <v>0.03</v>
      </c>
      <c r="H3" s="78" t="inlineStr">
        <is>
          <t>Mahanakhon Cube 96 ถ.นราธิวาสฯ สีลม บางรัก</t>
        </is>
      </c>
      <c r="I3" s="78" t="inlineStr">
        <is>
          <t>ทุกวัน 10:00-22:00</t>
        </is>
      </c>
      <c r="J3" s="78" t="inlineStr">
        <is>
          <t>+66 92 446 9222</t>
        </is>
      </c>
      <c r="K3" s="79" t="inlineStr">
        <is>
          <t>https://www.google.com/maps/search/?api=1&amp;query_place_id=ChIJL_Skva2Z4jARptt0z0enAIM</t>
        </is>
      </c>
      <c r="L3" s="78" t="inlineStr">
        <is>
          <t>เปิดให้บริการ (มีเวลาทำการใน Google Maps)</t>
        </is>
      </c>
    </row>
    <row r="4">
      <c r="A4" s="76" t="n">
        <v>3</v>
      </c>
      <c r="B4" s="76" t="inlineStr">
        <is>
          <t>SkyWalk King Power Mahanakhon (คิงเพาเวอร์ มหานคร)</t>
        </is>
      </c>
      <c r="C4" s="76" t="inlineStr">
        <is>
          <t>ร้านอาหาร</t>
        </is>
      </c>
      <c r="D4" s="76" t="inlineStr">
        <is>
          <t>The Standard Grill</t>
        </is>
      </c>
      <c r="E4" s="76" t="n">
        <v>13.7235301</v>
      </c>
      <c r="F4" s="76" t="n">
        <v>100.5282956</v>
      </c>
      <c r="G4" s="76" t="n">
        <v>0.06</v>
      </c>
      <c r="H4" s="76" t="inlineStr">
        <is>
          <t>ชั้น 5 The Standard Bangkok Mahanakhon 114 ถ.นราธิวาสฯ</t>
        </is>
      </c>
      <c r="I4" s="76" t="inlineStr">
        <is>
          <t>จ-ศ 17:30-22:30 / ส-อา 12:00-15:00, 17:30-22:30</t>
        </is>
      </c>
      <c r="J4" s="76" t="inlineStr">
        <is>
          <t>+66 2 085 8888</t>
        </is>
      </c>
      <c r="K4" s="77" t="inlineStr">
        <is>
          <t>https://www.google.com/maps/search/?api=1&amp;query_place_id=ChIJtzsv7T2Z4jAR2fSNVxk9_Jc</t>
        </is>
      </c>
      <c r="L4" s="76" t="inlineStr">
        <is>
          <t>เปิดให้บริการ (มีเวลาทำการใน Google Maps)</t>
        </is>
      </c>
    </row>
    <row r="5">
      <c r="A5" s="78" t="n">
        <v>4</v>
      </c>
      <c r="B5" s="78" t="inlineStr">
        <is>
          <t>SkyWalk King Power Mahanakhon (คิงเพาเวอร์ มหานคร)</t>
        </is>
      </c>
      <c r="C5" s="78" t="inlineStr">
        <is>
          <t>ร้านเครื่องดื่ม</t>
        </is>
      </c>
      <c r="D5" s="78" t="inlineStr">
        <is>
          <t>Sugar Bliss Coffee &amp; Brunch (Ashton Silom)</t>
        </is>
      </c>
      <c r="E5" s="78" t="n">
        <v>13.7263512</v>
      </c>
      <c r="F5" s="78" t="n">
        <v>100.5268077</v>
      </c>
      <c r="G5" s="78" t="n">
        <v>0.32</v>
      </c>
      <c r="H5" s="78" t="inlineStr">
        <is>
          <t>Ashton Silom ถ.สีลม สุริยวงศ์ บางรัก</t>
        </is>
      </c>
      <c r="I5" s="78" t="inlineStr">
        <is>
          <t>ทุกวัน 08:00-18:00</t>
        </is>
      </c>
      <c r="J5" s="78" t="inlineStr">
        <is>
          <t>+66 93 452 2989</t>
        </is>
      </c>
      <c r="K5" s="79" t="inlineStr">
        <is>
          <t>https://www.google.com/maps/search/?api=1&amp;query_place_id=ChIJ_9mRbwqZ4jAR5qjatMOK910</t>
        </is>
      </c>
      <c r="L5" s="78" t="inlineStr">
        <is>
          <t>เปิดให้บริการ (มีเวลาทำการใน Google Maps)</t>
        </is>
      </c>
    </row>
    <row r="6">
      <c r="A6" s="76" t="n">
        <v>5</v>
      </c>
      <c r="B6" s="76" t="inlineStr">
        <is>
          <t>SkyWalk King Power Mahanakhon (คิงเพาเวอร์ มหานคร)</t>
        </is>
      </c>
      <c r="C6" s="76" t="inlineStr">
        <is>
          <t>ร้านเครื่องดื่ม</t>
        </is>
      </c>
      <c r="D6" s="76" t="inlineStr">
        <is>
          <t>Still Bean — Silom</t>
        </is>
      </c>
      <c r="E6" s="76" t="n">
        <v>13.7274251</v>
      </c>
      <c r="F6" s="76" t="n">
        <v>100.5332886</v>
      </c>
      <c r="G6" s="76" t="n">
        <v>0.64</v>
      </c>
      <c r="H6" s="76" t="inlineStr">
        <is>
          <t>2, 3 ถ.คอนแวนต์ สีลม บางรัก</t>
        </is>
      </c>
      <c r="I6" s="76" t="inlineStr">
        <is>
          <t>ทุกวัน 07:30-20:00</t>
        </is>
      </c>
      <c r="J6" s="76" t="inlineStr">
        <is>
          <t>+66 2 000 0101</t>
        </is>
      </c>
      <c r="K6" s="77" t="inlineStr">
        <is>
          <t>https://www.google.com/maps/search/?api=1&amp;query_place_id=ChIJpY1mWCaf4jARIHPxN0HALGc</t>
        </is>
      </c>
      <c r="L6" s="76" t="inlineStr">
        <is>
          <t>เปิดให้บริการ (มีเวลาทำการใน Google Maps)</t>
        </is>
      </c>
    </row>
    <row r="7">
      <c r="A7" s="78" t="n">
        <v>6</v>
      </c>
      <c r="B7" s="78" t="inlineStr">
        <is>
          <t>SkyWalk King Power Mahanakhon (คิงเพาเวอร์ มหานคร)</t>
        </is>
      </c>
      <c r="C7" s="78" t="inlineStr">
        <is>
          <t>ร้านเครื่องดื่ม</t>
        </is>
      </c>
      <c r="D7" s="78" t="inlineStr">
        <is>
          <t>GATTA Cafe (Park Silom) - Specialty Coffee</t>
        </is>
      </c>
      <c r="E7" s="78" t="n">
        <v>13.7278606</v>
      </c>
      <c r="F7" s="78" t="n">
        <v>100.5335331</v>
      </c>
      <c r="G7" s="78" t="n">
        <v>0.6899999999999999</v>
      </c>
      <c r="H7" s="78" t="inlineStr">
        <is>
          <t>ชั้น L Park Silom ถ.สีลม บางรัก</t>
        </is>
      </c>
      <c r="I7" s="78" t="inlineStr">
        <is>
          <t>จ-ศ 07:00-17:30 / ส-อา 08:00-16:30</t>
        </is>
      </c>
      <c r="J7" s="78" t="inlineStr">
        <is>
          <t>+66 96 079 8822</t>
        </is>
      </c>
      <c r="K7" s="79" t="inlineStr">
        <is>
          <t>https://www.google.com/maps/search/?api=1&amp;query_place_id=ChIJ54yK4R2f4jARqeeHInvT16Y</t>
        </is>
      </c>
      <c r="L7" s="78" t="inlineStr">
        <is>
          <t>เปิดให้บริการ (มีเวลาทำการใน Google Maps)</t>
        </is>
      </c>
    </row>
    <row r="8">
      <c r="A8" s="76" t="n">
        <v>7</v>
      </c>
      <c r="B8" s="76" t="inlineStr">
        <is>
          <t>SkyWalk King Power Mahanakhon (คิงเพาเวอร์ มหานคร)</t>
        </is>
      </c>
      <c r="C8" s="76" t="inlineStr">
        <is>
          <t>ร้านของหวาน</t>
        </is>
      </c>
      <c r="D8" s="76" t="inlineStr">
        <is>
          <t>Brioche from Heaven</t>
        </is>
      </c>
      <c r="E8" s="76" t="n">
        <v>13.724035</v>
      </c>
      <c r="F8" s="76" t="n">
        <v>100.5295963</v>
      </c>
      <c r="G8" s="76" t="n">
        <v>0.12</v>
      </c>
      <c r="H8" s="76" t="inlineStr">
        <is>
          <t>156 ถ.นราธิวาสราชนครินทร์ สีลม บางรัก</t>
        </is>
      </c>
      <c r="I8" s="76" t="inlineStr">
        <is>
          <t>ทุกวัน 08:30-18:30</t>
        </is>
      </c>
      <c r="J8" s="76" t="inlineStr">
        <is>
          <t>+66 64 847 0049</t>
        </is>
      </c>
      <c r="K8" s="77" t="inlineStr">
        <is>
          <t>https://www.google.com/maps/search/?api=1&amp;query_place_id=ChIJsbfRmjGZ4jARcKFHjhSe1ls</t>
        </is>
      </c>
      <c r="L8" s="76" t="inlineStr">
        <is>
          <t>เปิดให้บริการ (มีเวลาทำการใน Google Maps)</t>
        </is>
      </c>
    </row>
    <row r="9">
      <c r="A9" s="78" t="n">
        <v>8</v>
      </c>
      <c r="B9" s="78" t="inlineStr">
        <is>
          <t>SkyWalk King Power Mahanakhon (คิงเพาเวอร์ มหานคร)</t>
        </is>
      </c>
      <c r="C9" s="78" t="inlineStr">
        <is>
          <t>ร้านของหวาน</t>
        </is>
      </c>
      <c r="D9" s="78" t="inlineStr">
        <is>
          <t>After You Dessert Café (Silom Complex)</t>
        </is>
      </c>
      <c r="E9" s="78" t="n">
        <v>13.7284734</v>
      </c>
      <c r="F9" s="78" t="n">
        <v>100.5350383</v>
      </c>
      <c r="G9" s="78" t="n">
        <v>0.86</v>
      </c>
      <c r="H9" s="78" t="inlineStr">
        <is>
          <t>Silom Complex ชั้น 2 191 ถ.สีลม บางรัก</t>
        </is>
      </c>
      <c r="I9" s="78" t="inlineStr">
        <is>
          <t>ทุกวัน 10:30-21:00</t>
        </is>
      </c>
      <c r="J9" s="78" t="inlineStr">
        <is>
          <t>+66 2 231 3255</t>
        </is>
      </c>
      <c r="K9" s="79" t="inlineStr">
        <is>
          <t>https://www.google.com/maps/search/?api=1&amp;query_place_id=ChIJa2em1dGY4jARkD433irtHU8</t>
        </is>
      </c>
      <c r="L9" s="78" t="inlineStr">
        <is>
          <t>เปิดให้บริการ (มีเวลาทำการใน Google Maps)</t>
        </is>
      </c>
    </row>
    <row r="10">
      <c r="A10" s="76" t="n">
        <v>9</v>
      </c>
      <c r="B10" s="76" t="inlineStr">
        <is>
          <t>SkyWalk King Power Mahanakhon (คิงเพาเวอร์ มหานคร)</t>
        </is>
      </c>
      <c r="C10" s="76" t="inlineStr">
        <is>
          <t>ร้านของหวาน</t>
        </is>
      </c>
      <c r="D10" s="76" t="inlineStr">
        <is>
          <t>Kyo Roll En (Silom Complex)</t>
        </is>
      </c>
      <c r="E10" s="76" t="n">
        <v>13.7280846</v>
      </c>
      <c r="F10" s="76" t="n">
        <v>100.5349377</v>
      </c>
      <c r="G10" s="76" t="n">
        <v>0.83</v>
      </c>
      <c r="H10" s="76" t="inlineStr">
        <is>
          <t>Silom Complex ชั้น B 191 ถ.สีลม บางรัก</t>
        </is>
      </c>
      <c r="I10" s="76" t="inlineStr">
        <is>
          <t>ทุกวัน 10:30-22:00</t>
        </is>
      </c>
      <c r="J10" s="76" t="inlineStr">
        <is>
          <t>+66 65 717 9010</t>
        </is>
      </c>
      <c r="K10" s="77" t="inlineStr">
        <is>
          <t>https://www.google.com/maps/search/?api=1&amp;query_place_id=ChIJr9hEAyyf4jARq1DOwvgEalo</t>
        </is>
      </c>
      <c r="L10" s="76" t="inlineStr">
        <is>
          <t>เปิดให้บริการ (มีเวลาทำการใน Google Maps)</t>
        </is>
      </c>
    </row>
    <row r="11">
      <c r="A11" s="78" t="n">
        <v>10</v>
      </c>
      <c r="B11" s="78" t="inlineStr">
        <is>
          <t>วัดพระศรีรัตนศาสดาราม (วัดพระแก้ว)</t>
        </is>
      </c>
      <c r="C11" s="78" t="inlineStr">
        <is>
          <t>ร้านอาหาร</t>
        </is>
      </c>
      <c r="D11" s="78" t="inlineStr">
        <is>
          <t>Thong Heng Lee Restaurant</t>
        </is>
      </c>
      <c r="E11" s="78" t="n">
        <v>13.7526785</v>
      </c>
      <c r="F11" s="78" t="n">
        <v>100.4893907</v>
      </c>
      <c r="G11" s="78" t="n">
        <v>0.38</v>
      </c>
      <c r="H11" s="78" t="inlineStr">
        <is>
          <t>192-194 ถ.มหาราช พระบรมมหาราชวัง พระนคร</t>
        </is>
      </c>
      <c r="I11" s="78" t="inlineStr">
        <is>
          <t>อ-อา 08:30-16:30 (ปิดวันจันทร์)</t>
        </is>
      </c>
      <c r="J11" s="78" t="inlineStr">
        <is>
          <t>+66 81 649 4890</t>
        </is>
      </c>
      <c r="K11" s="79" t="inlineStr">
        <is>
          <t>https://www.google.com/maps/search/?api=1&amp;query_place_id=ChIJqda0RQmZ4jAR861kobU9SaE</t>
        </is>
      </c>
      <c r="L11" s="78" t="inlineStr">
        <is>
          <t>เปิดให้บริการ (มีเวลาทำการใน Google Maps)</t>
        </is>
      </c>
    </row>
    <row r="12">
      <c r="A12" s="76" t="n">
        <v>11</v>
      </c>
      <c r="B12" s="76" t="inlineStr">
        <is>
          <t>วัดพระศรีรัตนศาสดาราม (วัดพระแก้ว)</t>
        </is>
      </c>
      <c r="C12" s="76" t="inlineStr">
        <is>
          <t>ร้านอาหาร</t>
        </is>
      </c>
      <c r="D12" s="76" t="inlineStr">
        <is>
          <t>The Gate Grand Palace</t>
        </is>
      </c>
      <c r="E12" s="76" t="n">
        <v>13.7521738</v>
      </c>
      <c r="F12" s="76" t="n">
        <v>100.4891456</v>
      </c>
      <c r="G12" s="76" t="n">
        <v>0.39</v>
      </c>
      <c r="H12" s="76" t="inlineStr">
        <is>
          <t>77 ถ.หน้าพระลาน ท่าช้าง พระนคร</t>
        </is>
      </c>
      <c r="I12" s="76" t="inlineStr">
        <is>
          <t>ทุกวัน 09:00-18:00</t>
        </is>
      </c>
      <c r="J12" s="76" t="inlineStr">
        <is>
          <t>+66 82 752 4993</t>
        </is>
      </c>
      <c r="K12" s="77" t="inlineStr">
        <is>
          <t>https://www.google.com/maps/search/?api=1&amp;query_place_id=ChIJXSG1gOGZ4jARQWWzQjSY8Hw</t>
        </is>
      </c>
      <c r="L12" s="76" t="inlineStr">
        <is>
          <t>เปิดให้บริการ (มีเวลาทำการใน Google Maps)</t>
        </is>
      </c>
    </row>
    <row r="13">
      <c r="A13" s="78" t="n">
        <v>12</v>
      </c>
      <c r="B13" s="78" t="inlineStr">
        <is>
          <t>วัดพระศรีรัตนศาสดาราม (วัดพระแก้ว)</t>
        </is>
      </c>
      <c r="C13" s="78" t="inlineStr">
        <is>
          <t>ร้านอาหาร</t>
        </is>
      </c>
      <c r="D13" s="78" t="inlineStr">
        <is>
          <t>Thai Royal Kitchen ครัวหน้าวัง</t>
        </is>
      </c>
      <c r="E13" s="78" t="n">
        <v>13.7495286</v>
      </c>
      <c r="F13" s="78" t="n">
        <v>100.4982747</v>
      </c>
      <c r="G13" s="78" t="n">
        <v>0.64</v>
      </c>
      <c r="H13" s="78" t="inlineStr">
        <is>
          <t>12 ถ.ราชบพิธ วัดราชบพิธ พระนคร</t>
        </is>
      </c>
      <c r="I13" s="78" t="inlineStr">
        <is>
          <t>ทุกวัน 05:30-14:00 (แนะนำสั่งล่วงหน้า)</t>
        </is>
      </c>
      <c r="J13" s="78" t="inlineStr">
        <is>
          <t>+66 63 965 5656</t>
        </is>
      </c>
      <c r="K13" s="79" t="inlineStr">
        <is>
          <t>https://www.google.com/maps/search/?api=1&amp;query_place_id=ChIJ3RQGqDKZ4jARor7IX-x0y0s</t>
        </is>
      </c>
      <c r="L13" s="78" t="inlineStr">
        <is>
          <t>เปิดให้บริการ (มีเวลาทำการใน Google Maps)</t>
        </is>
      </c>
    </row>
    <row r="14">
      <c r="A14" s="76" t="n">
        <v>13</v>
      </c>
      <c r="B14" s="76" t="inlineStr">
        <is>
          <t>วัดพระศรีรัตนศาสดาราม (วัดพระแก้ว)</t>
        </is>
      </c>
      <c r="C14" s="76" t="inlineStr">
        <is>
          <t>ร้านเครื่องดื่ม</t>
        </is>
      </c>
      <c r="D14" s="76" t="inlineStr">
        <is>
          <t>Tawang Thai Tea, Legendary of LIGOR @Wat Phra Kaew</t>
        </is>
      </c>
      <c r="E14" s="76" t="n">
        <v>13.7525195</v>
      </c>
      <c r="F14" s="76" t="n">
        <v>100.4908506</v>
      </c>
      <c r="G14" s="76" t="n">
        <v>0.23</v>
      </c>
      <c r="H14" s="76" t="inlineStr">
        <is>
          <t>9 ถ.หน้าพระลาน พระบรมมหาราชวัง พระนคร</t>
        </is>
      </c>
      <c r="I14" s="76" t="inlineStr">
        <is>
          <t>ทุกวัน 09:00-17:00</t>
        </is>
      </c>
      <c r="J14" s="76" t="inlineStr">
        <is>
          <t>+66 88 980 9398</t>
        </is>
      </c>
      <c r="K14" s="77" t="inlineStr">
        <is>
          <t>https://www.google.com/maps/search/?api=1&amp;query_place_id=ChIJX1I3HwCZ4jARxCmOcCGCapw</t>
        </is>
      </c>
      <c r="L14" s="76" t="inlineStr">
        <is>
          <t>เปิดให้บริการ (มีเวลาทำการใน Google Maps)</t>
        </is>
      </c>
    </row>
    <row r="15">
      <c r="A15" s="78" t="n">
        <v>14</v>
      </c>
      <c r="B15" s="78" t="inlineStr">
        <is>
          <t>วัดพระศรีรัตนศาสดาราม (วัดพระแก้ว)</t>
        </is>
      </c>
      <c r="C15" s="78" t="inlineStr">
        <is>
          <t>ร้านเครื่องดื่ม</t>
        </is>
      </c>
      <c r="D15" s="78" t="inlineStr">
        <is>
          <t>Cloud Phranakhon</t>
        </is>
      </c>
      <c r="E15" s="78" t="n">
        <v>13.75562</v>
      </c>
      <c r="F15" s="78" t="n">
        <v>100.4920533</v>
      </c>
      <c r="G15" s="78" t="n">
        <v>0.46</v>
      </c>
      <c r="H15" s="78" t="inlineStr">
        <is>
          <t>ซ.หน้าพระธาตุ พระบรมมหาราชวัง พระนคร</t>
        </is>
      </c>
      <c r="I15" s="78" t="inlineStr">
        <is>
          <t>ทุกวัน 07:00-21:00</t>
        </is>
      </c>
      <c r="J15" s="78" t="inlineStr">
        <is>
          <t>+66 80 296 5549</t>
        </is>
      </c>
      <c r="K15" s="79" t="inlineStr">
        <is>
          <t>https://www.google.com/maps/search/?api=1&amp;query_place_id=ChIJ0VnuaBeZ4jARYxkgVt-fU-o</t>
        </is>
      </c>
      <c r="L15" s="78" t="inlineStr">
        <is>
          <t>เปิดให้บริการ (มีเวลาทำการใน Google Maps)</t>
        </is>
      </c>
    </row>
    <row r="16">
      <c r="A16" s="76" t="n">
        <v>15</v>
      </c>
      <c r="B16" s="76" t="inlineStr">
        <is>
          <t>วัดพระศรีรัตนศาสดาราม (วัดพระแก้ว)</t>
        </is>
      </c>
      <c r="C16" s="76" t="inlineStr">
        <is>
          <t>ร้านเครื่องดื่ม</t>
        </is>
      </c>
      <c r="D16" s="76" t="inlineStr">
        <is>
          <t>ช่างคั่ว สาขาท่าพระจันทร์</t>
        </is>
      </c>
      <c r="E16" s="76" t="n">
        <v>13.7559097</v>
      </c>
      <c r="F16" s="76" t="n">
        <v>100.4904113</v>
      </c>
      <c r="G16" s="76" t="n">
        <v>0.55</v>
      </c>
      <c r="H16" s="76" t="inlineStr">
        <is>
          <t>5-7 ซ.ท่าพระจันทร์ พระบรมมหาราชวัง พระนคร</t>
        </is>
      </c>
      <c r="I16" s="76" t="inlineStr">
        <is>
          <t>ทุกวัน 08:00-16:00</t>
        </is>
      </c>
      <c r="J16" s="76" t="inlineStr">
        <is>
          <t>+66 96 395 9446</t>
        </is>
      </c>
      <c r="K16" s="77" t="inlineStr">
        <is>
          <t>https://www.google.com/maps/search/?api=1&amp;query_place_id=ChIJnx1_2XKZ4jARlAWQwKo5-_Y</t>
        </is>
      </c>
      <c r="L16" s="76" t="inlineStr">
        <is>
          <t>เปิดให้บริการ (มีเวลาทำการใน Google Maps)</t>
        </is>
      </c>
    </row>
    <row r="17">
      <c r="A17" s="78" t="n">
        <v>16</v>
      </c>
      <c r="B17" s="78" t="inlineStr">
        <is>
          <t>วัดพระศรีรัตนศาสดาราม (วัดพระแก้ว)</t>
        </is>
      </c>
      <c r="C17" s="78" t="inlineStr">
        <is>
          <t>ร้านของหวาน</t>
        </is>
      </c>
      <c r="D17" s="78" t="inlineStr">
        <is>
          <t>Nuttaporn Ice Cream (ไอศกรีมมะพร้าวนัฐพร)</t>
        </is>
      </c>
      <c r="E17" s="78" t="n">
        <v>13.7516701</v>
      </c>
      <c r="F17" s="78" t="n">
        <v>100.4974967</v>
      </c>
      <c r="G17" s="78" t="n">
        <v>0.52</v>
      </c>
      <c r="H17" s="78" t="inlineStr">
        <is>
          <t>94 ถ.แพร่งภูธร ศาลเจ้าพ่อเสือ พระนคร</t>
        </is>
      </c>
      <c r="I17" s="78" t="inlineStr">
        <is>
          <t>จ-ส 09:00-17:00 (ปิดวันอาทิตย์)</t>
        </is>
      </c>
      <c r="J17" s="78" t="inlineStr">
        <is>
          <t>+66 89 826 5752</t>
        </is>
      </c>
      <c r="K17" s="79" t="inlineStr">
        <is>
          <t>https://www.google.com/maps/search/?api=1&amp;query_place_id=ChIJ5VJGvhGZ4jARSBZl5Kc7a2k</t>
        </is>
      </c>
      <c r="L17" s="78" t="inlineStr">
        <is>
          <t>เปิดให้บริการ (มีเวลาทำการใน Google Maps)</t>
        </is>
      </c>
    </row>
    <row r="18">
      <c r="A18" s="76" t="n">
        <v>17</v>
      </c>
      <c r="B18" s="76" t="inlineStr">
        <is>
          <t>วัดพระศรีรัตนศาสดาราม (วัดพระแก้ว)</t>
        </is>
      </c>
      <c r="C18" s="76" t="inlineStr">
        <is>
          <t>ร้านของหวาน</t>
        </is>
      </c>
      <c r="D18" s="76" t="inlineStr">
        <is>
          <t>ร้านลุงแดง (ขนมไทยโบราณ แพร่งนรา)</t>
        </is>
      </c>
      <c r="E18" s="76" t="n">
        <v>13.7524264</v>
      </c>
      <c r="F18" s="76" t="n">
        <v>100.4979987</v>
      </c>
      <c r="G18" s="76" t="n">
        <v>0.58</v>
      </c>
      <c r="H18" s="76" t="inlineStr">
        <is>
          <t>112 ถ.แพร่งนรา ศาลเจ้าพ่อเสือ พระนคร</t>
        </is>
      </c>
      <c r="I18" s="76" t="inlineStr">
        <is>
          <t>จ-ศ 09:00-15:00 (ปิดเสาร์-อาทิตย์)</t>
        </is>
      </c>
      <c r="J18" s="76" t="inlineStr">
        <is>
          <t>+66 2 622 0404</t>
        </is>
      </c>
      <c r="K18" s="77" t="inlineStr">
        <is>
          <t>https://www.google.com/maps/search/?api=1&amp;query_place_id=ChIJa0NEkBGZ4jARK8fGc1AlX4k</t>
        </is>
      </c>
      <c r="L18" s="76" t="inlineStr">
        <is>
          <t>เปิดให้บริการ (มีเวลาทำการใน Google Maps)</t>
        </is>
      </c>
    </row>
    <row r="19">
      <c r="A19" s="78" t="n">
        <v>18</v>
      </c>
      <c r="B19" s="78" t="inlineStr">
        <is>
          <t>วัดพระศรีรัตนศาสดาราม (วัดพระแก้ว)</t>
        </is>
      </c>
      <c r="C19" s="78" t="inlineStr">
        <is>
          <t>ร้านของหวาน</t>
        </is>
      </c>
      <c r="D19" s="78" t="inlineStr">
        <is>
          <t>PAULETTE BKK</t>
        </is>
      </c>
      <c r="E19" s="78" t="n">
        <v>13.7495233</v>
      </c>
      <c r="F19" s="78" t="n">
        <v>100.4980413</v>
      </c>
      <c r="G19" s="78" t="n">
        <v>0.62</v>
      </c>
      <c r="H19" s="78" t="inlineStr">
        <is>
          <t>65 ถ.เฟื่องนคร วัดราชบพิธ พระนคร</t>
        </is>
      </c>
      <c r="I19" s="78" t="inlineStr">
        <is>
          <t>ทุกวัน 07:30-18:30</t>
        </is>
      </c>
      <c r="J19" s="78" t="inlineStr">
        <is>
          <t>+66 63 674 6561</t>
        </is>
      </c>
      <c r="K19" s="79" t="inlineStr">
        <is>
          <t>https://www.google.com/maps/search/?api=1&amp;query_place_id=ChIJHdQm8CKZ4jARSeplrVUwAtg</t>
        </is>
      </c>
      <c r="L19" s="78" t="inlineStr">
        <is>
          <t>เปิดให้บริการ (มีเวลาทำการใน Google Maps)</t>
        </is>
      </c>
    </row>
    <row r="20">
      <c r="A20" s="76" t="n">
        <v>19</v>
      </c>
      <c r="B20" s="76" t="inlineStr">
        <is>
          <t>วัดพระเชตุพนวิมลมังคลาราม (วัดโพธิ์)</t>
        </is>
      </c>
      <c r="C20" s="76" t="inlineStr">
        <is>
          <t>ร้านอาหาร</t>
        </is>
      </c>
      <c r="D20" s="76" t="inlineStr">
        <is>
          <t>Baan ThaTien</t>
        </is>
      </c>
      <c r="E20" s="76" t="n">
        <v>13.7446855</v>
      </c>
      <c r="F20" s="76" t="n">
        <v>100.4922468</v>
      </c>
      <c r="G20" s="76" t="n">
        <v>0.2</v>
      </c>
      <c r="H20" s="76" t="inlineStr">
        <is>
          <t>392/2 ถ.มหาราช พระบรมมหาราชวัง พระนคร</t>
        </is>
      </c>
      <c r="I20" s="76" t="inlineStr">
        <is>
          <t>ทุกวัน 08:00-19:00</t>
        </is>
      </c>
      <c r="J20" s="76" t="inlineStr">
        <is>
          <t>+66 95 151 5545</t>
        </is>
      </c>
      <c r="K20" s="77" t="inlineStr">
        <is>
          <t>https://www.google.com/maps/search/?api=1&amp;query_place_id=ChIJAYJsTQSZ4jARi7QrBrmpxY4</t>
        </is>
      </c>
      <c r="L20" s="76" t="inlineStr">
        <is>
          <t>เปิดให้บริการ (มีเวลาทำการใน Google Maps)</t>
        </is>
      </c>
    </row>
    <row r="21">
      <c r="A21" s="78" t="n">
        <v>20</v>
      </c>
      <c r="B21" s="78" t="inlineStr">
        <is>
          <t>วัดพระเชตุพนวิมลมังคลาราม (วัดโพธิ์)</t>
        </is>
      </c>
      <c r="C21" s="78" t="inlineStr">
        <is>
          <t>ร้านอาหาร</t>
        </is>
      </c>
      <c r="D21" s="78" t="inlineStr">
        <is>
          <t>Home Cafe Tha Tien</t>
        </is>
      </c>
      <c r="E21" s="78" t="n">
        <v>13.745695</v>
      </c>
      <c r="F21" s="78" t="n">
        <v>100.491253</v>
      </c>
      <c r="G21" s="78" t="n">
        <v>0.18</v>
      </c>
      <c r="H21" s="78" t="inlineStr">
        <is>
          <t>10-14 ซ.ท่าเตียน พระบรมมหาราชวัง พระนคร</t>
        </is>
      </c>
      <c r="I21" s="78" t="inlineStr">
        <is>
          <t>จ-ส 10:30-19:00 (ปิดวันอาทิตย์)</t>
        </is>
      </c>
      <c r="J21" s="78" t="inlineStr">
        <is>
          <t>+66 2 622 1936</t>
        </is>
      </c>
      <c r="K21" s="79" t="inlineStr">
        <is>
          <t>https://www.google.com/maps/search/?api=1&amp;query_place_id=ChIJ6aLoxQWZ4jARd7FjOaPiQ08</t>
        </is>
      </c>
      <c r="L21" s="78" t="inlineStr">
        <is>
          <t>เปิดให้บริการ (มีเวลาทำการใน Google Maps)</t>
        </is>
      </c>
    </row>
    <row r="22">
      <c r="A22" s="76" t="n">
        <v>21</v>
      </c>
      <c r="B22" s="76" t="inlineStr">
        <is>
          <t>วัดพระเชตุพนวิมลมังคลาราม (วัดโพธิ์)</t>
        </is>
      </c>
      <c r="C22" s="76" t="inlineStr">
        <is>
          <t>ร้านอาหาร</t>
        </is>
      </c>
      <c r="D22" s="76" t="inlineStr">
        <is>
          <t>RONGROS</t>
        </is>
      </c>
      <c r="E22" s="76" t="n">
        <v>13.7442546</v>
      </c>
      <c r="F22" s="76" t="n">
        <v>100.4917087</v>
      </c>
      <c r="G22" s="76" t="n">
        <v>0.27</v>
      </c>
      <c r="H22" s="76" t="inlineStr">
        <is>
          <t>392/16 ถ.มหาราช พระบรมมหาราชวัง พระนคร</t>
        </is>
      </c>
      <c r="I22" s="76" t="inlineStr">
        <is>
          <t>ทุกวัน 11:00-15:00, 17:00-22:00</t>
        </is>
      </c>
      <c r="J22" s="76" t="inlineStr">
        <is>
          <t>+66 96 946 1785</t>
        </is>
      </c>
      <c r="K22" s="77" t="inlineStr">
        <is>
          <t>https://www.google.com/maps/search/?api=1&amp;query_place_id=ChIJjYPUa8GZ4jARi9fgigQOiR8</t>
        </is>
      </c>
      <c r="L22" s="76" t="inlineStr">
        <is>
          <t>เปิดให้บริการ (มีเวลาทำการใน Google Maps)</t>
        </is>
      </c>
    </row>
    <row r="23">
      <c r="A23" s="78" t="n">
        <v>22</v>
      </c>
      <c r="B23" s="78" t="inlineStr">
        <is>
          <t>วัดพระเชตุพนวิมลมังคลาราม (วัดโพธิ์)</t>
        </is>
      </c>
      <c r="C23" s="78" t="inlineStr">
        <is>
          <t>ร้านเครื่องดื่ม</t>
        </is>
      </c>
      <c r="D23" s="78" t="inlineStr">
        <is>
          <t>Orin Coffee roaster &amp; Specialty tea</t>
        </is>
      </c>
      <c r="E23" s="78" t="n">
        <v>13.7456065</v>
      </c>
      <c r="F23" s="78" t="n">
        <v>100.4911484</v>
      </c>
      <c r="G23" s="78" t="n">
        <v>0.2</v>
      </c>
      <c r="H23" s="78" t="inlineStr">
        <is>
          <t>20 ซ.ท่าเตียน พระบรมมหาราชวัง พระนคร</t>
        </is>
      </c>
      <c r="I23" s="78" t="inlineStr">
        <is>
          <t>ทุกวัน 08:00-18:00 (ปิดวันพุธ)</t>
        </is>
      </c>
      <c r="J23" s="78" t="inlineStr">
        <is>
          <t>+66 88 666 2027</t>
        </is>
      </c>
      <c r="K23" s="79" t="inlineStr">
        <is>
          <t>https://www.google.com/maps/search/?api=1&amp;query_place_id=ChIJ3cc_YhmZ4jARPfL1wgx3Ywk</t>
        </is>
      </c>
      <c r="L23" s="78" t="inlineStr">
        <is>
          <t>เปิดให้บริการ (มีเวลาทำการใน Google Maps)</t>
        </is>
      </c>
    </row>
    <row r="24">
      <c r="A24" s="76" t="n">
        <v>23</v>
      </c>
      <c r="B24" s="76" t="inlineStr">
        <is>
          <t>วัดพระเชตุพนวิมลมังคลาราม (วัดโพธิ์)</t>
        </is>
      </c>
      <c r="C24" s="76" t="inlineStr">
        <is>
          <t>ร้านเครื่องดื่ม</t>
        </is>
      </c>
      <c r="D24" s="76" t="inlineStr">
        <is>
          <t>SLOWBAR : Slow coffee &amp; Juice bar</t>
        </is>
      </c>
      <c r="E24" s="76" t="n">
        <v>13.7453407</v>
      </c>
      <c r="F24" s="76" t="n">
        <v>100.4916366</v>
      </c>
      <c r="G24" s="76" t="n">
        <v>0.17</v>
      </c>
      <c r="H24" s="76" t="inlineStr">
        <is>
          <t>85/2 พระบรมมหาราชวัง พระนคร</t>
        </is>
      </c>
      <c r="I24" s="76" t="inlineStr">
        <is>
          <t>ทุกวัน 10:00-19:00 (ปิดวันอังคาร)</t>
        </is>
      </c>
      <c r="J24" s="76" t="inlineStr">
        <is>
          <t>+66 94 952 6463</t>
        </is>
      </c>
      <c r="K24" s="77" t="inlineStr">
        <is>
          <t>https://www.google.com/maps/search/?api=1&amp;query_place_id=ChIJI7VVefWZ4jARWW57XZMlPO4</t>
        </is>
      </c>
      <c r="L24" s="76" t="inlineStr">
        <is>
          <t>เปิดให้บริการ (มีเวลาทำการใน Google Maps)</t>
        </is>
      </c>
    </row>
    <row r="25">
      <c r="A25" s="78" t="n">
        <v>24</v>
      </c>
      <c r="B25" s="78" t="inlineStr">
        <is>
          <t>วัดพระเชตุพนวิมลมังคลาราม (วัดโพธิ์)</t>
        </is>
      </c>
      <c r="C25" s="78" t="inlineStr">
        <is>
          <t>ร้านเครื่องดื่ม</t>
        </is>
      </c>
      <c r="D25" s="78" t="inlineStr">
        <is>
          <t>ตั้งเตียนน์ - Tang De Tien Cafe' &amp; Curated twist</t>
        </is>
      </c>
      <c r="E25" s="78" t="n">
        <v>13.7460254</v>
      </c>
      <c r="F25" s="78" t="n">
        <v>100.4912036</v>
      </c>
      <c r="G25" s="78" t="n">
        <v>0.17</v>
      </c>
      <c r="H25" s="78" t="inlineStr">
        <is>
          <t>312-314 ถ.มหาราช พระบรมมหาราชวัง พระนคร</t>
        </is>
      </c>
      <c r="I25" s="78" t="inlineStr">
        <is>
          <t>ทุกวัน 09:30-20:30</t>
        </is>
      </c>
      <c r="J25" s="78" t="inlineStr">
        <is>
          <t>+66 61 415 1555</t>
        </is>
      </c>
      <c r="K25" s="79" t="inlineStr">
        <is>
          <t>https://www.google.com/maps/search/?api=1&amp;query_place_id=ChIJpRm_RwCZ4jARHuxdKSbqYX0</t>
        </is>
      </c>
      <c r="L25" s="78" t="inlineStr">
        <is>
          <t>เปิดให้บริการ (มีเวลาทำการใน Google Maps)</t>
        </is>
      </c>
    </row>
    <row r="26">
      <c r="A26" s="76" t="n">
        <v>25</v>
      </c>
      <c r="B26" s="76" t="inlineStr">
        <is>
          <t>วัดพระเชตุพนวิมลมังคลาราม (วัดโพธิ์)</t>
        </is>
      </c>
      <c r="C26" s="76" t="inlineStr">
        <is>
          <t>ร้านของหวาน</t>
        </is>
      </c>
      <c r="D26" s="76" t="inlineStr">
        <is>
          <t>Heychom Thai Dessert Bar</t>
        </is>
      </c>
      <c r="E26" s="76" t="n">
        <v>13.7459201</v>
      </c>
      <c r="F26" s="76" t="n">
        <v>100.4912687</v>
      </c>
      <c r="G26" s="76" t="n">
        <v>0.17</v>
      </c>
      <c r="H26" s="76" t="inlineStr">
        <is>
          <t>320 ถ.มหาราช พระบรมมหาราชวัง พระนคร</t>
        </is>
      </c>
      <c r="I26" s="76" t="inlineStr">
        <is>
          <t>ทุกวัน 11:00-18:00</t>
        </is>
      </c>
      <c r="J26" s="76" t="inlineStr">
        <is>
          <t>+66 99 239 9246</t>
        </is>
      </c>
      <c r="K26" s="77" t="inlineStr">
        <is>
          <t>https://www.google.com/maps/search/?api=1&amp;query_place_id=ChIJf676IJeZ4jARHVCHVT4OJko</t>
        </is>
      </c>
      <c r="L26" s="76" t="inlineStr">
        <is>
          <t>เปิดให้บริการ (มีเวลาทำการใน Google Maps)</t>
        </is>
      </c>
    </row>
    <row r="27">
      <c r="A27" s="78" t="n">
        <v>26</v>
      </c>
      <c r="B27" s="78" t="inlineStr">
        <is>
          <t>วัดพระเชตุพนวิมลมังคลาราม (วัดโพธิ์)</t>
        </is>
      </c>
      <c r="C27" s="78" t="inlineStr">
        <is>
          <t>ร้านของหวาน</t>
        </is>
      </c>
      <c r="D27" s="78" t="inlineStr">
        <is>
          <t>After Sunrise</t>
        </is>
      </c>
      <c r="E27" s="78" t="n">
        <v>13.7450075</v>
      </c>
      <c r="F27" s="78" t="n">
        <v>100.4919373</v>
      </c>
      <c r="G27" s="78" t="n">
        <v>0.18</v>
      </c>
      <c r="H27" s="78" t="inlineStr">
        <is>
          <t>370 ชั้น 2 Chetuphon Gate ซ.ประตูนกยูง พระนคร</t>
        </is>
      </c>
      <c r="I27" s="78" t="inlineStr">
        <is>
          <t>ทุกวัน 12:00-20:00</t>
        </is>
      </c>
      <c r="J27" s="78" t="inlineStr">
        <is>
          <t>-</t>
        </is>
      </c>
      <c r="K27" s="79" t="inlineStr">
        <is>
          <t>https://www.google.com/maps/search/?api=1&amp;query_place_id=ChIJ2ewOZh6Z4jARqNuLp2xFDW8</t>
        </is>
      </c>
      <c r="L27" s="78" t="inlineStr">
        <is>
          <t>เปิดให้บริการ (มีเวลาทำการใน Google Maps)</t>
        </is>
      </c>
    </row>
    <row r="28">
      <c r="A28" s="76" t="n">
        <v>27</v>
      </c>
      <c r="B28" s="76" t="inlineStr">
        <is>
          <t>วัดพระเชตุพนวิมลมังคลาราม (วัดโพธิ์)</t>
        </is>
      </c>
      <c r="C28" s="76" t="inlineStr">
        <is>
          <t>ร้านของหวาน</t>
        </is>
      </c>
      <c r="D28" s="76" t="inlineStr">
        <is>
          <t>A Pink Rabbit + Bob</t>
        </is>
      </c>
      <c r="E28" s="76" t="n">
        <v>13.7449359</v>
      </c>
      <c r="F28" s="76" t="n">
        <v>100.492024</v>
      </c>
      <c r="G28" s="76" t="n">
        <v>0.18</v>
      </c>
      <c r="H28" s="76" t="inlineStr">
        <is>
          <t>378 ถ.มหาราช พระบรมมหาราชวัง พระนคร</t>
        </is>
      </c>
      <c r="I28" s="76" t="inlineStr">
        <is>
          <t>ทุกวัน 09:00-20:00</t>
        </is>
      </c>
      <c r="J28" s="76" t="inlineStr">
        <is>
          <t>+66 62 639 8880</t>
        </is>
      </c>
      <c r="K28" s="77" t="inlineStr">
        <is>
          <t>https://www.google.com/maps/search/?api=1&amp;query_place_id=ChIJv9Qyc9uZ4jAR7LyLQfsLySI</t>
        </is>
      </c>
      <c r="L28" s="76" t="inlineStr">
        <is>
          <t>เปิดให้บริการ (มีเวลาทำการใน Google Maps)</t>
        </is>
      </c>
    </row>
    <row r="29">
      <c r="A29" s="78" t="n">
        <v>28</v>
      </c>
      <c r="B29" s="78" t="inlineStr">
        <is>
          <t>วัดอรุณราชวรารามราชวรมหาวิหาร</t>
        </is>
      </c>
      <c r="C29" s="78" t="inlineStr">
        <is>
          <t>ร้านอาหาร</t>
        </is>
      </c>
      <c r="D29" s="78" t="inlineStr">
        <is>
          <t>Chom Arun</t>
        </is>
      </c>
      <c r="E29" s="78" t="n">
        <v>13.7440478</v>
      </c>
      <c r="F29" s="78" t="n">
        <v>100.4917704</v>
      </c>
      <c r="G29" s="78" t="n">
        <v>0.36</v>
      </c>
      <c r="H29" s="78" t="inlineStr">
        <is>
          <t>392/53 ถ.มหาราช พระบรมมหาราชวัง พระนคร</t>
        </is>
      </c>
      <c r="I29" s="78" t="inlineStr">
        <is>
          <t>ทุกวัน 10:30-21:30</t>
        </is>
      </c>
      <c r="J29" s="78" t="inlineStr">
        <is>
          <t>+66 95 446 4199</t>
        </is>
      </c>
      <c r="K29" s="79" t="inlineStr">
        <is>
          <t>https://www.google.com/maps/search/?api=1&amp;query_place_id=ChIJg86wsZ-Z4jARYyyrIYV1rpw</t>
        </is>
      </c>
      <c r="L29" s="78" t="inlineStr">
        <is>
          <t>เปิดให้บริการ (มีเวลาทำการใน Google Maps)</t>
        </is>
      </c>
    </row>
    <row r="30">
      <c r="A30" s="76" t="n">
        <v>29</v>
      </c>
      <c r="B30" s="76" t="inlineStr">
        <is>
          <t>วัดอรุณราชวรารามราชวรมหาวิหาร</t>
        </is>
      </c>
      <c r="C30" s="76" t="inlineStr">
        <is>
          <t>ร้านอาหาร</t>
        </is>
      </c>
      <c r="D30" s="76" t="inlineStr">
        <is>
          <t>Supanniga Eating Room Tha Tien</t>
        </is>
      </c>
      <c r="E30" s="76" t="n">
        <v>13.7441351</v>
      </c>
      <c r="F30" s="76" t="n">
        <v>100.4917348</v>
      </c>
      <c r="G30" s="76" t="n">
        <v>0.36</v>
      </c>
      <c r="H30" s="76" t="inlineStr">
        <is>
          <t>392/25-26 ซ.เพ็ญพัฒน์ 2 พระบรมมหาราชวัง พระนคร</t>
        </is>
      </c>
      <c r="I30" s="76" t="inlineStr">
        <is>
          <t>จ-ศ 11:00-22:00 / ส-อา 10:00-22:00</t>
        </is>
      </c>
      <c r="J30" s="76" t="inlineStr">
        <is>
          <t>+66 92 253 9251</t>
        </is>
      </c>
      <c r="K30" s="77" t="inlineStr">
        <is>
          <t>https://www.google.com/maps/search/?api=1&amp;query_place_id=ChIJjZS9RwSZ4jARNZMgiT03fJ4</t>
        </is>
      </c>
      <c r="L30" s="76" t="inlineStr">
        <is>
          <t>เปิดให้บริการ (มีเวลาทำการใน Google Maps)</t>
        </is>
      </c>
    </row>
    <row r="31">
      <c r="A31" s="78" t="n">
        <v>30</v>
      </c>
      <c r="B31" s="78" t="inlineStr">
        <is>
          <t>วัดอรุณราชวรารามราชวรมหาวิหาร</t>
        </is>
      </c>
      <c r="C31" s="78" t="inlineStr">
        <is>
          <t>ร้านอาหาร</t>
        </is>
      </c>
      <c r="D31" s="78" t="inlineStr">
        <is>
          <t>Eat Sight Story Deck</t>
        </is>
      </c>
      <c r="E31" s="78" t="n">
        <v>13.7452674</v>
      </c>
      <c r="F31" s="78" t="n">
        <v>100.4909523</v>
      </c>
      <c r="G31" s="78" t="n">
        <v>0.31</v>
      </c>
      <c r="H31" s="78" t="inlineStr">
        <is>
          <t>47-79 ซ.ท่าเตียน พระบรมมหาราชวัง พระนคร</t>
        </is>
      </c>
      <c r="I31" s="78" t="inlineStr">
        <is>
          <t>ทุกวัน 11:00-22:00</t>
        </is>
      </c>
      <c r="J31" s="78" t="inlineStr">
        <is>
          <t>+66 83 988 8735</t>
        </is>
      </c>
      <c r="K31" s="79" t="inlineStr">
        <is>
          <t>https://www.google.com/maps/search/?api=1&amp;query_place_id=ChIJ961s0QWZ4jARvvtf8tT2ZzQ</t>
        </is>
      </c>
      <c r="L31" s="78" t="inlineStr">
        <is>
          <t>เปิดให้บริการ (มีเวลาทำการใน Google Maps)</t>
        </is>
      </c>
    </row>
    <row r="32">
      <c r="A32" s="76" t="n">
        <v>31</v>
      </c>
      <c r="B32" s="76" t="inlineStr">
        <is>
          <t>วัดอรุณราชวรารามราชวรมหาวิหาร</t>
        </is>
      </c>
      <c r="C32" s="76" t="inlineStr">
        <is>
          <t>ร้านเครื่องดื่ม</t>
        </is>
      </c>
      <c r="D32" s="76" t="inlineStr">
        <is>
          <t>ViVi The Coffee Place</t>
        </is>
      </c>
      <c r="E32" s="76" t="n">
        <v>13.7436911</v>
      </c>
      <c r="F32" s="76" t="n">
        <v>100.4921072</v>
      </c>
      <c r="G32" s="76" t="n">
        <v>0.4</v>
      </c>
      <c r="H32" s="76" t="inlineStr">
        <is>
          <t>394/29 ซ.ปานสุข พระบรมมหาราชวัง พระนคร</t>
        </is>
      </c>
      <c r="I32" s="76" t="inlineStr">
        <is>
          <t>ทุกวัน 10:00-20:00</t>
        </is>
      </c>
      <c r="J32" s="76" t="inlineStr">
        <is>
          <t>+66 2 226 4672</t>
        </is>
      </c>
      <c r="K32" s="77" t="inlineStr">
        <is>
          <t>https://www.google.com/maps/search/?api=1&amp;query_place_id=ChIJrTG8QwSZ4jAR7y9dYWUsw_o</t>
        </is>
      </c>
      <c r="L32" s="76" t="inlineStr">
        <is>
          <t>เปิดให้บริการ (มีเวลาทำการใน Google Maps)</t>
        </is>
      </c>
    </row>
    <row r="33">
      <c r="A33" s="78" t="n">
        <v>32</v>
      </c>
      <c r="B33" s="78" t="inlineStr">
        <is>
          <t>วัดอรุณราชวรารามราชวรมหาวิหาร</t>
        </is>
      </c>
      <c r="C33" s="78" t="inlineStr">
        <is>
          <t>ร้านเครื่องดื่ม</t>
        </is>
      </c>
      <c r="D33" s="78" t="inlineStr">
        <is>
          <t>Arun-Cafe</t>
        </is>
      </c>
      <c r="E33" s="78" t="n">
        <v>13.742653</v>
      </c>
      <c r="F33" s="78" t="n">
        <v>100.4874873</v>
      </c>
      <c r="G33" s="78" t="n">
        <v>0.17</v>
      </c>
      <c r="H33" s="78" t="inlineStr">
        <is>
          <t>169/3 ถ.อรุณอมรินทร์ วัดอรุณ บางกอกใหญ่</t>
        </is>
      </c>
      <c r="I33" s="78" t="inlineStr">
        <is>
          <t>ทุกวัน 09:00-18:00</t>
        </is>
      </c>
      <c r="J33" s="78" t="inlineStr">
        <is>
          <t>-</t>
        </is>
      </c>
      <c r="K33" s="79" t="inlineStr">
        <is>
          <t>https://www.google.com/maps/search/?api=1&amp;query_place_id=ChIJhbOGK6qZ4jARpbTx6P5md9s</t>
        </is>
      </c>
      <c r="L33" s="78" t="inlineStr">
        <is>
          <t>เปิดให้บริการ (มีเวลาทำการใน Google Maps)</t>
        </is>
      </c>
    </row>
    <row r="34">
      <c r="A34" s="76" t="n">
        <v>33</v>
      </c>
      <c r="B34" s="76" t="inlineStr">
        <is>
          <t>วัดอรุณราชวรารามราชวรมหาวิหาร</t>
        </is>
      </c>
      <c r="C34" s="76" t="inlineStr">
        <is>
          <t>ร้านเครื่องดื่ม</t>
        </is>
      </c>
      <c r="D34" s="76" t="inlineStr">
        <is>
          <t>gunsbake.cafe</t>
        </is>
      </c>
      <c r="E34" s="76" t="n">
        <v>13.7416825</v>
      </c>
      <c r="F34" s="76" t="n">
        <v>100.4863189</v>
      </c>
      <c r="G34" s="76" t="n">
        <v>0.33</v>
      </c>
      <c r="H34" s="76" t="inlineStr">
        <is>
          <t>39/7 ถ.วังเดิม วัดอรุณ บางกอกใหญ่</t>
        </is>
      </c>
      <c r="I34" s="76" t="inlineStr">
        <is>
          <t>จ 10:00-18:00 / พ 10:00-16:00 / พฤ 10:00-18:00 / ศ 10:00-16:00 / ส 10:00-18:00 / อา 10:00-17:00 (ปิดวันอังคาร)</t>
        </is>
      </c>
      <c r="J34" s="76" t="inlineStr">
        <is>
          <t>+66 86 824 5353</t>
        </is>
      </c>
      <c r="K34" s="77" t="inlineStr">
        <is>
          <t>https://www.google.com/maps/search/?api=1&amp;query_place_id=ChIJwznn8QSZ4jARth7RYPTDmAc</t>
        </is>
      </c>
      <c r="L34" s="76" t="inlineStr">
        <is>
          <t>เปิดให้บริการ (มีเวลาทำการใน Google Maps)</t>
        </is>
      </c>
    </row>
    <row r="35">
      <c r="A35" s="78" t="n">
        <v>34</v>
      </c>
      <c r="B35" s="78" t="inlineStr">
        <is>
          <t>วัดอรุณราชวรารามราชวรมหาวิหาร</t>
        </is>
      </c>
      <c r="C35" s="78" t="inlineStr">
        <is>
          <t>ร้านของหวาน</t>
        </is>
      </c>
      <c r="D35" s="78" t="inlineStr">
        <is>
          <t>Before Sunset</t>
        </is>
      </c>
      <c r="E35" s="78" t="n">
        <v>13.7447843</v>
      </c>
      <c r="F35" s="78" t="n">
        <v>100.4912865</v>
      </c>
      <c r="G35" s="78" t="n">
        <v>0.32</v>
      </c>
      <c r="H35" s="78" t="inlineStr">
        <is>
          <t>40/1 ซ.ประตูนกยูง พระบรมมหาราชวัง พระนคร</t>
        </is>
      </c>
      <c r="I35" s="78" t="inlineStr">
        <is>
          <t>ทุกวัน 13:00-20:00</t>
        </is>
      </c>
      <c r="J35" s="78" t="inlineStr">
        <is>
          <t>-</t>
        </is>
      </c>
      <c r="K35" s="79" t="inlineStr">
        <is>
          <t>https://www.google.com/maps/search/?api=1&amp;query_place_id=ChIJ28Sybv2Z4jARwGxmuwOJbso</t>
        </is>
      </c>
      <c r="L35" s="78" t="inlineStr">
        <is>
          <t>เปิดให้บริการ (มีเวลาทำการใน Google Maps)</t>
        </is>
      </c>
    </row>
    <row r="36">
      <c r="A36" s="76" t="n">
        <v>35</v>
      </c>
      <c r="B36" s="76" t="inlineStr">
        <is>
          <t>วัดอรุณราชวรารามราชวรมหาวิหาร</t>
        </is>
      </c>
      <c r="C36" s="76" t="inlineStr">
        <is>
          <t>ร้านของหวาน</t>
        </is>
      </c>
      <c r="D36" s="76" t="inlineStr">
        <is>
          <t>Priscilla Ice Cream</t>
        </is>
      </c>
      <c r="E36" s="76" t="n">
        <v>13.7465477</v>
      </c>
      <c r="F36" s="76" t="n">
        <v>100.4846122</v>
      </c>
      <c r="G36" s="76" t="n">
        <v>0.51</v>
      </c>
      <c r="H36" s="76" t="inlineStr">
        <is>
          <t>59 ซ.ริมคลองมอญ วัดอรุณ บางกอกใหญ่</t>
        </is>
      </c>
      <c r="I36" s="76" t="inlineStr">
        <is>
          <t>จ-พฤ 08:00-18:00 / ศ-ส 08:00-20:00 / อา 08:00-19:00</t>
        </is>
      </c>
      <c r="J36" s="76" t="inlineStr">
        <is>
          <t>+66 83 008 7451</t>
        </is>
      </c>
      <c r="K36" s="77" t="inlineStr">
        <is>
          <t>https://www.google.com/maps/search/?api=1&amp;query_place_id=ChIJ321kK3GZ4jAR2rRWuWXBPMw</t>
        </is>
      </c>
      <c r="L36" s="76" t="inlineStr">
        <is>
          <t>เปิดให้บริการ (มีเวลาทำการใน Google Maps)</t>
        </is>
      </c>
    </row>
    <row r="37">
      <c r="A37" s="78" t="n">
        <v>36</v>
      </c>
      <c r="B37" s="78" t="inlineStr">
        <is>
          <t>วัดอรุณราชวรารามราชวรมหาวิหาร</t>
        </is>
      </c>
      <c r="C37" s="78" t="inlineStr">
        <is>
          <t>ร้านของหวาน</t>
        </is>
      </c>
      <c r="D37" s="78" t="inlineStr">
        <is>
          <t>Ice Therapy (ไอศกรีมเจลาโต้)</t>
        </is>
      </c>
      <c r="E37" s="78" t="n">
        <v>13.7415235</v>
      </c>
      <c r="F37" s="78" t="n">
        <v>100.4860448</v>
      </c>
      <c r="G37" s="78" t="n">
        <v>0.37</v>
      </c>
      <c r="H37" s="78" t="inlineStr">
        <is>
          <t>105 ถ.วังเดิม วัดอรุณ บางกอกใหญ่</t>
        </is>
      </c>
      <c r="I37" s="78" t="inlineStr">
        <is>
          <t>จ,อ,พฤ-อา 12:00-20:00 (ปิดวันพุธ)</t>
        </is>
      </c>
      <c r="J37" s="78" t="inlineStr">
        <is>
          <t>+66 95 775 9794</t>
        </is>
      </c>
      <c r="K37" s="79" t="inlineStr">
        <is>
          <t>https://www.google.com/maps/search/?api=1&amp;query_place_id=ChIJJQLvOwCZ4jARUyBcQD86DEY</t>
        </is>
      </c>
      <c r="L37" s="78" t="inlineStr">
        <is>
          <t>เปิดให้บริการ (มีเวลาทำการใน Google Maps)</t>
        </is>
      </c>
    </row>
    <row r="38">
      <c r="A38" s="76" t="n">
        <v>37</v>
      </c>
      <c r="B38" s="76" t="inlineStr">
        <is>
          <t>วัดปากน้ำภาษีเจริญ</t>
        </is>
      </c>
      <c r="C38" s="76" t="inlineStr">
        <is>
          <t>ร้านอาหาร</t>
        </is>
      </c>
      <c r="D38" s="76" t="inlineStr">
        <is>
          <t>ร้านตุ้มอร่อย คาเฟ่ Toomaroi Café</t>
        </is>
      </c>
      <c r="E38" s="76" t="n">
        <v>13.7185333</v>
      </c>
      <c r="F38" s="76" t="n">
        <v>100.4677225</v>
      </c>
      <c r="G38" s="76" t="n">
        <v>0.46</v>
      </c>
      <c r="H38" s="76" t="inlineStr">
        <is>
          <t>119/18 ถ.เทอดไท ปากคลองภาษีเจริญ ภาษีเจริญ</t>
        </is>
      </c>
      <c r="I38" s="76" t="inlineStr">
        <is>
          <t>จ,อ,ศ-อา 09:30-17:30 (ปิดพุธ-พฤหัสบดี)</t>
        </is>
      </c>
      <c r="J38" s="76" t="inlineStr">
        <is>
          <t>+66 95 998 7928</t>
        </is>
      </c>
      <c r="K38" s="77" t="inlineStr">
        <is>
          <t>https://www.google.com/maps/search/?api=1&amp;query_place_id=ChIJT3ZAob-Z4jARZKL_lsJzvVY</t>
        </is>
      </c>
      <c r="L38" s="76" t="inlineStr">
        <is>
          <t>เปิดให้บริการ (มีเวลาทำการใน Google Maps)</t>
        </is>
      </c>
    </row>
    <row r="39">
      <c r="A39" s="78" t="n">
        <v>38</v>
      </c>
      <c r="B39" s="78" t="inlineStr">
        <is>
          <t>วัดปากน้ำภาษีเจริญ</t>
        </is>
      </c>
      <c r="C39" s="78" t="inlineStr">
        <is>
          <t>ร้านอาหาร</t>
        </is>
      </c>
      <c r="D39" s="78" t="inlineStr">
        <is>
          <t>Hidden Bangkok Bistro</t>
        </is>
      </c>
      <c r="E39" s="78" t="n">
        <v>13.7215514</v>
      </c>
      <c r="F39" s="78" t="n">
        <v>100.4719368</v>
      </c>
      <c r="G39" s="78" t="n">
        <v>0.17</v>
      </c>
      <c r="H39" s="78" t="inlineStr">
        <is>
          <t>872/8 ซ.เทอดไท 26 ตลาดพลู ธนบุรี</t>
        </is>
      </c>
      <c r="I39" s="78" t="inlineStr">
        <is>
          <t>ทุกวัน 09:00-22:00</t>
        </is>
      </c>
      <c r="J39" s="78" t="inlineStr">
        <is>
          <t>+66 90 897 9835</t>
        </is>
      </c>
      <c r="K39" s="79" t="inlineStr">
        <is>
          <t>https://www.google.com/maps/search/?api=1&amp;query_place_id=ChIJZ6CYhMaZ4jARJ98e1bZkf5Y</t>
        </is>
      </c>
      <c r="L39" s="78" t="inlineStr">
        <is>
          <t>เปิดให้บริการ (มีเวลาทำการใน Google Maps)</t>
        </is>
      </c>
    </row>
    <row r="40">
      <c r="A40" s="76" t="n">
        <v>39</v>
      </c>
      <c r="B40" s="76" t="inlineStr">
        <is>
          <t>วัดปากน้ำภาษีเจริญ</t>
        </is>
      </c>
      <c r="C40" s="76" t="inlineStr">
        <is>
          <t>ร้านอาหาร</t>
        </is>
      </c>
      <c r="D40" s="76" t="inlineStr">
        <is>
          <t>ฉอเล้ง หมี่กระเฉด ตลาดพลู</t>
        </is>
      </c>
      <c r="E40" s="76" t="n">
        <v>13.7201592</v>
      </c>
      <c r="F40" s="76" t="n">
        <v>100.4771483</v>
      </c>
      <c r="G40" s="76" t="n">
        <v>0.76</v>
      </c>
      <c r="H40" s="76" t="inlineStr">
        <is>
          <t>ซ.เทอดไท 25 ตลาดพลู ธนบุรี</t>
        </is>
      </c>
      <c r="I40" s="76" t="inlineStr">
        <is>
          <t>ทุกวัน 11:00-23:00 (เสาร์)</t>
        </is>
      </c>
      <c r="J40" s="76" t="inlineStr">
        <is>
          <t>+66 62 569 1465</t>
        </is>
      </c>
      <c r="K40" s="77" t="inlineStr">
        <is>
          <t>https://www.google.com/maps/search/?api=1&amp;query_place_id=ChIJ026d7FuY4jARmnM2EpwSY9M</t>
        </is>
      </c>
      <c r="L40" s="76" t="inlineStr">
        <is>
          <t>เปิดให้บริการ (มีเวลาทำการใน Google Maps)</t>
        </is>
      </c>
    </row>
    <row r="41">
      <c r="A41" s="78" t="n">
        <v>40</v>
      </c>
      <c r="B41" s="78" t="inlineStr">
        <is>
          <t>วัดปากน้ำภาษีเจริญ</t>
        </is>
      </c>
      <c r="C41" s="78" t="inlineStr">
        <is>
          <t>ร้านเครื่องดื่ม</t>
        </is>
      </c>
      <c r="D41" s="78" t="inlineStr">
        <is>
          <t>Meili Cafe เหม่ยลี่คาเฟ่</t>
        </is>
      </c>
      <c r="E41" s="78" t="n">
        <v>13.7226145</v>
      </c>
      <c r="F41" s="78" t="n">
        <v>100.4691131</v>
      </c>
      <c r="G41" s="78" t="n">
        <v>0.16</v>
      </c>
      <c r="H41" s="78" t="inlineStr">
        <is>
          <t>196 ปากคลองภาษีเจริญ ภาษีเจริญ</t>
        </is>
      </c>
      <c r="I41" s="78" t="inlineStr">
        <is>
          <t>ทุกวัน 09:00-17:30</t>
        </is>
      </c>
      <c r="J41" s="78" t="inlineStr">
        <is>
          <t>+66 82 682 6869</t>
        </is>
      </c>
      <c r="K41" s="79" t="inlineStr">
        <is>
          <t>https://www.google.com/maps/search/?api=1&amp;query_place_id=ChIJt441FFyZ4jARjDnyNMSSHCE</t>
        </is>
      </c>
      <c r="L41" s="78" t="inlineStr">
        <is>
          <t>เปิดให้บริการ (มีเวลาทำการใน Google Maps)</t>
        </is>
      </c>
    </row>
    <row r="42">
      <c r="A42" s="76" t="n">
        <v>41</v>
      </c>
      <c r="B42" s="76" t="inlineStr">
        <is>
          <t>วัดปากน้ำภาษีเจริญ</t>
        </is>
      </c>
      <c r="C42" s="76" t="inlineStr">
        <is>
          <t>ร้านเครื่องดื่ม</t>
        </is>
      </c>
      <c r="D42" s="76" t="inlineStr">
        <is>
          <t>Uruea Café (อุรุเอ คาเฟ่)</t>
        </is>
      </c>
      <c r="E42" s="76" t="n">
        <v>13.724611</v>
      </c>
      <c r="F42" s="76" t="n">
        <v>100.4723152</v>
      </c>
      <c r="G42" s="76" t="n">
        <v>0.38</v>
      </c>
      <c r="H42" s="76" t="inlineStr">
        <is>
          <t>ซ.เพชรเกษม 15 แยก 9 วัดท่าพระ บางกอกใหญ่</t>
        </is>
      </c>
      <c r="I42" s="76" t="inlineStr">
        <is>
          <t>ทุกวัน 10:00-19:00</t>
        </is>
      </c>
      <c r="J42" s="76" t="inlineStr">
        <is>
          <t>+66 61 363 6646</t>
        </is>
      </c>
      <c r="K42" s="77" t="inlineStr">
        <is>
          <t>https://www.google.com/maps/search/?api=1&amp;query_place_id=ChIJYdBkWayZ4jARyCQGsj2EXnM</t>
        </is>
      </c>
      <c r="L42" s="76" t="inlineStr">
        <is>
          <t>เปิดให้บริการ (มีเวลาทำการใน Google Maps)</t>
        </is>
      </c>
    </row>
    <row r="43">
      <c r="A43" s="78" t="n">
        <v>42</v>
      </c>
      <c r="B43" s="78" t="inlineStr">
        <is>
          <t>วัดปากน้ำภาษีเจริญ</t>
        </is>
      </c>
      <c r="C43" s="78" t="inlineStr">
        <is>
          <t>ร้านเครื่องดื่ม</t>
        </is>
      </c>
      <c r="D43" s="78" t="inlineStr">
        <is>
          <t>Cino (ชิโน่ คาเฟ่)</t>
        </is>
      </c>
      <c r="E43" s="78" t="n">
        <v>13.7210525</v>
      </c>
      <c r="F43" s="78" t="n">
        <v>100.4703311</v>
      </c>
      <c r="G43" s="78" t="n">
        <v>0.08</v>
      </c>
      <c r="H43" s="78" t="inlineStr">
        <is>
          <t>112/2 วัดปากน้ำ ปากคลองภาษีเจริญ ภาษีเจริญ</t>
        </is>
      </c>
      <c r="I43" s="78" t="inlineStr">
        <is>
          <t>จ-ส 09:00-17:00 (ปิดวันอาทิตย์)</t>
        </is>
      </c>
      <c r="J43" s="78" t="inlineStr">
        <is>
          <t>-</t>
        </is>
      </c>
      <c r="K43" s="79" t="inlineStr">
        <is>
          <t>https://www.google.com/maps/search/?api=1&amp;query_place_id=ChIJsZOKY0SY4jAR9YUtLVVi9us</t>
        </is>
      </c>
      <c r="L43" s="78" t="inlineStr">
        <is>
          <t>เปิดให้บริการ (มีเวลาทำการใน Google Maps)</t>
        </is>
      </c>
    </row>
    <row r="44">
      <c r="A44" s="76" t="n">
        <v>43</v>
      </c>
      <c r="B44" s="76" t="inlineStr">
        <is>
          <t>วัดปากน้ำภาษีเจริญ</t>
        </is>
      </c>
      <c r="C44" s="76" t="inlineStr">
        <is>
          <t>ร้านของหวาน</t>
        </is>
      </c>
      <c r="D44" s="76" t="inlineStr">
        <is>
          <t>Ni-Ang Shaved Ice Cream (นิ่ง ไอศกรีมไข่แดง)</t>
        </is>
      </c>
      <c r="E44" s="76" t="n">
        <v>13.720495</v>
      </c>
      <c r="F44" s="76" t="n">
        <v>100.4775066</v>
      </c>
      <c r="G44" s="76" t="n">
        <v>0.79</v>
      </c>
      <c r="H44" s="76" t="inlineStr">
        <is>
          <t>919 ซ.เลียบทางรถไฟ ตลาดพลู ธนบุรี</t>
        </is>
      </c>
      <c r="I44" s="76" t="inlineStr">
        <is>
          <t>ทุกวัน 15:00-02:00</t>
        </is>
      </c>
      <c r="J44" s="76" t="inlineStr">
        <is>
          <t>+66 81 920 7802</t>
        </is>
      </c>
      <c r="K44" s="77" t="inlineStr">
        <is>
          <t>https://www.google.com/maps/search/?api=1&amp;query_place_id=ChIJmZilkluY4jARrhZbeqVgOqQ</t>
        </is>
      </c>
      <c r="L44" s="76" t="inlineStr">
        <is>
          <t>เปิดให้บริการ (มีเวลาทำการใน Google Maps)</t>
        </is>
      </c>
    </row>
    <row r="45">
      <c r="A45" s="78" t="n">
        <v>44</v>
      </c>
      <c r="B45" s="78" t="inlineStr">
        <is>
          <t>วัดปากน้ำภาษีเจริญ</t>
        </is>
      </c>
      <c r="C45" s="78" t="inlineStr">
        <is>
          <t>ร้านของหวาน</t>
        </is>
      </c>
      <c r="D45" s="78" t="inlineStr">
        <is>
          <t>bāolú</t>
        </is>
      </c>
      <c r="E45" s="78" t="n">
        <v>13.7210618</v>
      </c>
      <c r="F45" s="78" t="n">
        <v>100.4768066</v>
      </c>
      <c r="G45" s="78" t="n">
        <v>0.7</v>
      </c>
      <c r="H45" s="78" t="inlineStr">
        <is>
          <t>ปากซ.เทอดไท 20 ตลาดพลู ธนบุรี</t>
        </is>
      </c>
      <c r="I45" s="78" t="inlineStr">
        <is>
          <t>ทุกวัน 15:00-23:00 (เสาร์)</t>
        </is>
      </c>
      <c r="J45" s="78" t="inlineStr">
        <is>
          <t>+66 81 838 4480</t>
        </is>
      </c>
      <c r="K45" s="79" t="inlineStr">
        <is>
          <t>https://www.google.com/maps/search/?api=1&amp;query_place_id=ChIJbxDHe5aZ4jARisr7Zv3inFw</t>
        </is>
      </c>
      <c r="L45" s="78" t="inlineStr">
        <is>
          <t>เปิดให้บริการ (มีเวลาทำการใน Google Maps)</t>
        </is>
      </c>
    </row>
    <row r="46">
      <c r="A46" s="76" t="n">
        <v>45</v>
      </c>
      <c r="B46" s="76" t="inlineStr">
        <is>
          <t>วัดปากน้ำภาษีเจริญ</t>
        </is>
      </c>
      <c r="C46" s="76" t="inlineStr">
        <is>
          <t>ร้านของหวาน</t>
        </is>
      </c>
      <c r="D46" s="76" t="inlineStr">
        <is>
          <t>Family Bakery</t>
        </is>
      </c>
      <c r="E46" s="76" t="n">
        <v>13.7190254</v>
      </c>
      <c r="F46" s="76" t="n">
        <v>100.4754162</v>
      </c>
      <c r="G46" s="76" t="n">
        <v>0.63</v>
      </c>
      <c r="H46" s="76" t="inlineStr">
        <is>
          <t>66/6 ซ.เทอดไท 33 ตลาดพลู ธนบุรี</t>
        </is>
      </c>
      <c r="I46" s="76" t="inlineStr">
        <is>
          <t>ทุกวัน 07:00-21:00 (เสาร์)</t>
        </is>
      </c>
      <c r="J46" s="76" t="inlineStr">
        <is>
          <t>+66 2 465 6004</t>
        </is>
      </c>
      <c r="K46" s="77" t="inlineStr">
        <is>
          <t>https://www.google.com/maps/search/?api=1&amp;query_place_id=ChIJkSZ-Y1uY4jARBUk3CwCBWZU</t>
        </is>
      </c>
      <c r="L46" s="76" t="inlineStr">
        <is>
          <t>เปิดให้บริการ (มีเวลาทำการใน Google Maps)</t>
        </is>
      </c>
    </row>
    <row r="47">
      <c r="A47" s="78" t="n">
        <v>46</v>
      </c>
      <c r="B47" s="78" t="inlineStr">
        <is>
          <t>บรรทัดทอง (ถ.บรรทัดทอง)</t>
        </is>
      </c>
      <c r="C47" s="78" t="inlineStr">
        <is>
          <t>ร้านอาหาร</t>
        </is>
      </c>
      <c r="D47" s="78" t="inlineStr">
        <is>
          <t>Jae Keang (Banthat Thong)</t>
        </is>
      </c>
      <c r="E47" s="78" t="n">
        <v>13.7461796</v>
      </c>
      <c r="F47" s="78" t="n">
        <v>100.5236466</v>
      </c>
      <c r="G47" s="78" t="n">
        <v>0.78</v>
      </c>
      <c r="H47" s="78" t="inlineStr">
        <is>
          <t>679 ถ.บรรทัดทอง วังใหม่ ปทุมวัน</t>
        </is>
      </c>
      <c r="I47" s="78" t="inlineStr">
        <is>
          <t>ทุกวัน 16:00-24:00</t>
        </is>
      </c>
      <c r="J47" s="78" t="inlineStr">
        <is>
          <t>+66 86 884 4352</t>
        </is>
      </c>
      <c r="K47" s="79" t="inlineStr">
        <is>
          <t>https://www.google.com/maps/search/?api=1&amp;query_place_id=ChIJd0oN2SmZ4jARvT7TiGUmDGs</t>
        </is>
      </c>
      <c r="L47" s="78" t="inlineStr">
        <is>
          <t>เปิดให้บริการ (มีเวลาทำการใน Google Maps)</t>
        </is>
      </c>
    </row>
    <row r="48">
      <c r="A48" s="76" t="n">
        <v>47</v>
      </c>
      <c r="B48" s="76" t="inlineStr">
        <is>
          <t>บรรทัดทอง (ถ.บรรทัดทอง)</t>
        </is>
      </c>
      <c r="C48" s="76" t="inlineStr">
        <is>
          <t>ร้านอาหาร</t>
        </is>
      </c>
      <c r="D48" s="76" t="inlineStr">
        <is>
          <t>Pa Nee Kung Chae Nam Pla (ป้านีกุ้งแช่น้ำปลา)</t>
        </is>
      </c>
      <c r="E48" s="76" t="n">
        <v>13.7428894</v>
      </c>
      <c r="F48" s="76" t="n">
        <v>100.5237008</v>
      </c>
      <c r="G48" s="76" t="n">
        <v>0.42</v>
      </c>
      <c r="H48" s="76" t="inlineStr">
        <is>
          <t>36 ซ.จุฬาฯ 14 วังใหม่ ปทุมวัน</t>
        </is>
      </c>
      <c r="I48" s="76" t="inlineStr">
        <is>
          <t>ทุกวัน 16:00-22:00</t>
        </is>
      </c>
      <c r="J48" s="76" t="inlineStr">
        <is>
          <t>+66 90 646 9224</t>
        </is>
      </c>
      <c r="K48" s="77" t="inlineStr">
        <is>
          <t>https://www.google.com/maps/search/?api=1&amp;query_place_id=ChIJicM_KrqZ4jARknIcSUkpVdg</t>
        </is>
      </c>
      <c r="L48" s="76" t="inlineStr">
        <is>
          <t>เปิดให้บริการ (มีเวลาทำการใน Google Maps)</t>
        </is>
      </c>
    </row>
    <row r="49">
      <c r="A49" s="78" t="n">
        <v>48</v>
      </c>
      <c r="B49" s="78" t="inlineStr">
        <is>
          <t>บรรทัดทอง (ถ.บรรทัดทอง)</t>
        </is>
      </c>
      <c r="C49" s="78" t="inlineStr">
        <is>
          <t>ร้านอาหาร</t>
        </is>
      </c>
      <c r="D49" s="78" t="inlineStr">
        <is>
          <t>Somboon Seafood (สมบูรณ์โภชนา บรรทัดทอง)</t>
        </is>
      </c>
      <c r="E49" s="78" t="n">
        <v>13.745208</v>
      </c>
      <c r="F49" s="78" t="n">
        <v>100.523898</v>
      </c>
      <c r="G49" s="78" t="n">
        <v>0.67</v>
      </c>
      <c r="H49" s="78" t="inlineStr">
        <is>
          <t>895/6-21 ถ.บรรทัดทอง วังใหม่ ปทุมวัน</t>
        </is>
      </c>
      <c r="I49" s="78" t="inlineStr">
        <is>
          <t>ทุกวัน 11:00-22:00</t>
        </is>
      </c>
      <c r="J49" s="78" t="inlineStr">
        <is>
          <t>+66 2 216 4203</t>
        </is>
      </c>
      <c r="K49" s="79" t="inlineStr">
        <is>
          <t>https://www.google.com/maps/search/?api=1&amp;query_place_id=ChIJe_8_Ci6Z4jARqgBTNie9XqE</t>
        </is>
      </c>
      <c r="L49" s="78" t="inlineStr">
        <is>
          <t>เปิดให้บริการ (มีเวลาทำการใน Google Maps)</t>
        </is>
      </c>
    </row>
    <row r="50">
      <c r="A50" s="76" t="n">
        <v>49</v>
      </c>
      <c r="B50" s="76" t="inlineStr">
        <is>
          <t>บรรทัดทอง (ถ.บรรทัดทอง)</t>
        </is>
      </c>
      <c r="C50" s="76" t="inlineStr">
        <is>
          <t>ร้านเครื่องดื่ม</t>
        </is>
      </c>
      <c r="D50" s="76" t="inlineStr">
        <is>
          <t>Everyday Thai Tea (Head Quarter)</t>
        </is>
      </c>
      <c r="E50" s="76" t="n">
        <v>13.743727</v>
      </c>
      <c r="F50" s="76" t="n">
        <v>100.5236964</v>
      </c>
      <c r="G50" s="76" t="n">
        <v>0.51</v>
      </c>
      <c r="H50" s="76" t="inlineStr">
        <is>
          <t>13 ซ.จุฬาลงกรณ์ 12 รองเมือง ปทุมวัน</t>
        </is>
      </c>
      <c r="I50" s="76" t="inlineStr">
        <is>
          <t>ทุกวัน 10:00-21:00</t>
        </is>
      </c>
      <c r="J50" s="76" t="inlineStr">
        <is>
          <t>+66 81 235 3926</t>
        </is>
      </c>
      <c r="K50" s="77" t="inlineStr">
        <is>
          <t>https://www.google.com/maps/search/?api=1&amp;query_place_id=ChIJ3zD-QBaZ4jARgbCPH2kTR3w</t>
        </is>
      </c>
      <c r="L50" s="76" t="inlineStr">
        <is>
          <t>เปิดให้บริการ (มีเวลาทำการใน Google Maps)</t>
        </is>
      </c>
    </row>
    <row r="51">
      <c r="A51" s="78" t="n">
        <v>50</v>
      </c>
      <c r="B51" s="78" t="inlineStr">
        <is>
          <t>บรรทัดทอง (ถ.บรรทัดทอง)</t>
        </is>
      </c>
      <c r="C51" s="78" t="inlineStr">
        <is>
          <t>ร้านเครื่องดื่ม</t>
        </is>
      </c>
      <c r="D51" s="78" t="inlineStr">
        <is>
          <t>TEA PEARL</t>
        </is>
      </c>
      <c r="E51" s="78" t="n">
        <v>13.7450359</v>
      </c>
      <c r="F51" s="78" t="n">
        <v>100.5232219</v>
      </c>
      <c r="G51" s="78" t="n">
        <v>0.66</v>
      </c>
      <c r="H51" s="78" t="inlineStr">
        <is>
          <t>1324 ถ.บรรทัดทอง วังใหม่ ปทุมวัน</t>
        </is>
      </c>
      <c r="I51" s="78" t="inlineStr">
        <is>
          <t>ทุกวัน 12:00-24:00</t>
        </is>
      </c>
      <c r="J51" s="78" t="inlineStr">
        <is>
          <t>+66 90 915 2199</t>
        </is>
      </c>
      <c r="K51" s="79" t="inlineStr">
        <is>
          <t>https://www.google.com/maps/search/?api=1&amp;query_place_id=ChIJlZGKHACZ4jARL-eA4Ie6SwI</t>
        </is>
      </c>
      <c r="L51" s="78" t="inlineStr">
        <is>
          <t>เปิดให้บริการ (มีเวลาทำการใน Google Maps)</t>
        </is>
      </c>
    </row>
    <row r="52">
      <c r="A52" s="76" t="n">
        <v>51</v>
      </c>
      <c r="B52" s="76" t="inlineStr">
        <is>
          <t>บรรทัดทอง (ถ.บรรทัดทอง)</t>
        </is>
      </c>
      <c r="C52" s="76" t="inlineStr">
        <is>
          <t>ร้านเครื่องดื่ม</t>
        </is>
      </c>
      <c r="D52" s="76" t="inlineStr">
        <is>
          <t>Nokhook House Cafe</t>
        </is>
      </c>
      <c r="E52" s="76" t="n">
        <v>13.7427638</v>
      </c>
      <c r="F52" s="76" t="n">
        <v>100.5227538</v>
      </c>
      <c r="G52" s="76" t="n">
        <v>0.43</v>
      </c>
      <c r="H52" s="76" t="inlineStr">
        <is>
          <t>1444 ถ.บรรทัดทอง วังใหม่ ปทุมวัน</t>
        </is>
      </c>
      <c r="I52" s="76" t="inlineStr">
        <is>
          <t>จ 09:00-02:00 / อ-พฤ 16:30-01:30 / ศ-อา 16:30-02:00</t>
        </is>
      </c>
      <c r="J52" s="76" t="inlineStr">
        <is>
          <t>+66 97 424 2363</t>
        </is>
      </c>
      <c r="K52" s="77" t="inlineStr">
        <is>
          <t>https://www.google.com/maps/search/?api=1&amp;query_place_id=ChIJ5UstNruZ4jAR8IvFsMS0bH8</t>
        </is>
      </c>
      <c r="L52" s="76" t="inlineStr">
        <is>
          <t>เปิดให้บริการ (มีเวลาทำการใน Google Maps)</t>
        </is>
      </c>
    </row>
    <row r="53">
      <c r="A53" s="78" t="n">
        <v>52</v>
      </c>
      <c r="B53" s="78" t="inlineStr">
        <is>
          <t>บรรทัดทอง (ถ.บรรทัดทอง)</t>
        </is>
      </c>
      <c r="C53" s="78" t="inlineStr">
        <is>
          <t>ร้านของหวาน</t>
        </is>
      </c>
      <c r="D53" s="78" t="inlineStr">
        <is>
          <t>Bingbun</t>
        </is>
      </c>
      <c r="E53" s="78" t="n">
        <v>13.7409018</v>
      </c>
      <c r="F53" s="78" t="n">
        <v>100.5224035</v>
      </c>
      <c r="G53" s="78" t="n">
        <v>0.28</v>
      </c>
      <c r="H53" s="78" t="inlineStr">
        <is>
          <t>1638 ถ.บรรทัดทอง วังใหม่ ปทุมวัน</t>
        </is>
      </c>
      <c r="I53" s="78" t="inlineStr">
        <is>
          <t>ทุกวัน 16:00-24:00</t>
        </is>
      </c>
      <c r="J53" s="78" t="inlineStr">
        <is>
          <t>-</t>
        </is>
      </c>
      <c r="K53" s="79" t="inlineStr">
        <is>
          <t>https://www.google.com/maps/search/?api=1&amp;query_place_id=ChIJx-0SOgCZ4jARpHRMxuLkE88</t>
        </is>
      </c>
      <c r="L53" s="78" t="inlineStr">
        <is>
          <t>เปิดให้บริการ (มีเวลาทำการใน Google Maps)</t>
        </is>
      </c>
    </row>
    <row r="54">
      <c r="A54" s="76" t="n">
        <v>53</v>
      </c>
      <c r="B54" s="76" t="inlineStr">
        <is>
          <t>บรรทัดทอง (ถ.บรรทัดทอง)</t>
        </is>
      </c>
      <c r="C54" s="76" t="inlineStr">
        <is>
          <t>ร้านของหวาน</t>
        </is>
      </c>
      <c r="D54" s="76" t="inlineStr">
        <is>
          <t>Jae Wan (เจ๊แวน)</t>
        </is>
      </c>
      <c r="E54" s="76" t="n">
        <v>13.7396492</v>
      </c>
      <c r="F54" s="76" t="n">
        <v>100.5222225</v>
      </c>
      <c r="G54" s="76" t="n">
        <v>0.23</v>
      </c>
      <c r="H54" s="76" t="inlineStr">
        <is>
          <t>1700 ถ.บรรทัดทอง รองเมือง ปทุมวัน</t>
        </is>
      </c>
      <c r="I54" s="76" t="inlineStr">
        <is>
          <t>ทุกวัน 13:45-23:30 (อาทิตย์ 13:30)</t>
        </is>
      </c>
      <c r="J54" s="76" t="inlineStr">
        <is>
          <t>+66 81 421 3761</t>
        </is>
      </c>
      <c r="K54" s="77" t="inlineStr">
        <is>
          <t>https://www.google.com/maps/search/?api=1&amp;query_place_id=ChIJFzK8PimZ4jARnkqwKGrzLts</t>
        </is>
      </c>
      <c r="L54" s="76" t="inlineStr">
        <is>
          <t>เปิดให้บริการ (มีเวลาทำการใน Google Maps)</t>
        </is>
      </c>
    </row>
    <row r="55">
      <c r="A55" s="78" t="n">
        <v>54</v>
      </c>
      <c r="B55" s="78" t="inlineStr">
        <is>
          <t>บรรทัดทอง (ถ.บรรทัดทอง)</t>
        </is>
      </c>
      <c r="C55" s="78" t="inlineStr">
        <is>
          <t>ร้านของหวาน</t>
        </is>
      </c>
      <c r="D55" s="78" t="inlineStr">
        <is>
          <t>แก้วกล้า ขนมหวานกะทิสด (KK Thai Dessert)</t>
        </is>
      </c>
      <c r="E55" s="78" t="n">
        <v>13.7391137</v>
      </c>
      <c r="F55" s="78" t="n">
        <v>100.5220825</v>
      </c>
      <c r="G55" s="78" t="n">
        <v>0.24</v>
      </c>
      <c r="H55" s="78" t="inlineStr">
        <is>
          <t>1786 ถ.บรรทัดทอง วังใหม่ ปทุมวัน</t>
        </is>
      </c>
      <c r="I55" s="78" t="inlineStr">
        <is>
          <t>ทุกวัน 12:00-03:00</t>
        </is>
      </c>
      <c r="J55" s="78" t="inlineStr">
        <is>
          <t>+66 61 878 7855</t>
        </is>
      </c>
      <c r="K55" s="79" t="inlineStr">
        <is>
          <t>https://www.google.com/maps/search/?api=1&amp;query_place_id=ChIJ3Zne-SeZ4jARToMmi_3aK_s</t>
        </is>
      </c>
      <c r="L55" s="78" t="inlineStr">
        <is>
          <t>เปิดให้บริการ (มีเวลาทำการใน Google Maps)</t>
        </is>
      </c>
    </row>
    <row r="56">
      <c r="A56" s="76" t="n">
        <v>55</v>
      </c>
      <c r="B56" s="76" t="inlineStr">
        <is>
          <t>เยาวราช</t>
        </is>
      </c>
      <c r="C56" s="76" t="inlineStr">
        <is>
          <t>ร้านอาหาร</t>
        </is>
      </c>
      <c r="D56" s="76" t="inlineStr">
        <is>
          <t>HAGOW Yaowarat</t>
        </is>
      </c>
      <c r="E56" s="76" t="n">
        <v>13.7407445</v>
      </c>
      <c r="F56" s="76" t="n">
        <v>100.5093962</v>
      </c>
      <c r="G56" s="76" t="n">
        <v>0.13</v>
      </c>
      <c r="H56" s="76" t="inlineStr">
        <is>
          <t>387 ถ.เยาวราช สัมพันธวงศ์</t>
        </is>
      </c>
      <c r="I56" s="76" t="inlineStr">
        <is>
          <t>ทุกวัน 11:00-21:30 (เสาร์)</t>
        </is>
      </c>
      <c r="J56" s="76" t="inlineStr">
        <is>
          <t>+66 63 956 2752</t>
        </is>
      </c>
      <c r="K56" s="77" t="inlineStr">
        <is>
          <t>https://www.google.com/maps/search/?api=1&amp;query_place_id=ChIJg_OawsSZ4jARhar1F01_csQ</t>
        </is>
      </c>
      <c r="L56" s="76" t="inlineStr">
        <is>
          <t>เปิดให้บริการ (มีเวลาทำการใน Google Maps)</t>
        </is>
      </c>
    </row>
    <row r="57">
      <c r="A57" s="78" t="n">
        <v>56</v>
      </c>
      <c r="B57" s="78" t="inlineStr">
        <is>
          <t>เยาวราช</t>
        </is>
      </c>
      <c r="C57" s="78" t="inlineStr">
        <is>
          <t>ร้านอาหาร</t>
        </is>
      </c>
      <c r="D57" s="78" t="inlineStr">
        <is>
          <t>Laoteng (เล่าเต็ง)</t>
        </is>
      </c>
      <c r="E57" s="78" t="n">
        <v>13.7402038</v>
      </c>
      <c r="F57" s="78" t="n">
        <v>100.5099084</v>
      </c>
      <c r="G57" s="78" t="n">
        <v>0.06</v>
      </c>
      <c r="H57" s="78" t="inlineStr">
        <is>
          <t>438 ชั้น 2 ถ.เยาวราช สัมพันธวงศ์</t>
        </is>
      </c>
      <c r="I57" s="78" t="inlineStr">
        <is>
          <t>ทุกวัน 11:00-24:00 (เสาร์)</t>
        </is>
      </c>
      <c r="J57" s="78" t="inlineStr">
        <is>
          <t>+66 96 245 4242</t>
        </is>
      </c>
      <c r="K57" s="79" t="inlineStr">
        <is>
          <t>https://www.google.com/maps/search/?api=1&amp;query_place_id=ChIJJ03QjGOZ4jARdUW-bCQ2u2s</t>
        </is>
      </c>
      <c r="L57" s="78" t="inlineStr">
        <is>
          <t>เปิดให้บริการ (มีเวลาทำการใน Google Maps)</t>
        </is>
      </c>
    </row>
    <row r="58">
      <c r="A58" s="76" t="n">
        <v>57</v>
      </c>
      <c r="B58" s="76" t="inlineStr">
        <is>
          <t>เยาวราช</t>
        </is>
      </c>
      <c r="C58" s="76" t="inlineStr">
        <is>
          <t>ร้านอาหาร</t>
        </is>
      </c>
      <c r="D58" s="76" t="inlineStr">
        <is>
          <t>Xie Chinatown</t>
        </is>
      </c>
      <c r="E58" s="76" t="n">
        <v>13.7401294</v>
      </c>
      <c r="F58" s="76" t="n">
        <v>100.5100794</v>
      </c>
      <c r="G58" s="76" t="n">
        <v>0.05</v>
      </c>
      <c r="H58" s="76" t="inlineStr">
        <is>
          <t>446 ถ.เยาวราช สัมพันธวงศ์</t>
        </is>
      </c>
      <c r="I58" s="76" t="inlineStr">
        <is>
          <t>ทุกวัน 15:30-00:30 (เสาร์)</t>
        </is>
      </c>
      <c r="J58" s="76" t="inlineStr">
        <is>
          <t>+66 96 915 6659</t>
        </is>
      </c>
      <c r="K58" s="77" t="inlineStr">
        <is>
          <t>https://www.google.com/maps/search/?api=1&amp;query_place_id=ChIJqcfmnCGZ4jARBiLzwaax2hQ</t>
        </is>
      </c>
      <c r="L58" s="76" t="inlineStr">
        <is>
          <t>เปิดให้บริการ (มีเวลาทำการใน Google Maps)</t>
        </is>
      </c>
    </row>
    <row r="59">
      <c r="A59" s="78" t="n">
        <v>58</v>
      </c>
      <c r="B59" s="78" t="inlineStr">
        <is>
          <t>เยาวราช</t>
        </is>
      </c>
      <c r="C59" s="78" t="inlineStr">
        <is>
          <t>ร้านเครื่องดื่ม</t>
        </is>
      </c>
      <c r="D59" s="78" t="inlineStr">
        <is>
          <t>Double Dogs Tearoom</t>
        </is>
      </c>
      <c r="E59" s="78" t="n">
        <v>13.7406307</v>
      </c>
      <c r="F59" s="78" t="n">
        <v>100.509181</v>
      </c>
      <c r="G59" s="78" t="n">
        <v>0.13</v>
      </c>
      <c r="H59" s="78" t="inlineStr">
        <is>
          <t>406 ถ.เยาวราช จักรวรรดิ สัมพันธวงศ์</t>
        </is>
      </c>
      <c r="I59" s="78" t="inlineStr">
        <is>
          <t>พฤ-จ 11:00-18:00 (ปิดอังคาร-พุธ)</t>
        </is>
      </c>
      <c r="J59" s="78" t="inlineStr">
        <is>
          <t>+66 86 329 3075</t>
        </is>
      </c>
      <c r="K59" s="79" t="inlineStr">
        <is>
          <t>https://www.google.com/maps/search/?api=1&amp;query_place_id=ChIJH79CmBiZ4jARMdjLCASWygc</t>
        </is>
      </c>
      <c r="L59" s="78" t="inlineStr">
        <is>
          <t>เปิดให้บริการ (มีเวลาทำการใน Google Maps)</t>
        </is>
      </c>
    </row>
    <row r="60">
      <c r="A60" s="76" t="n">
        <v>59</v>
      </c>
      <c r="B60" s="76" t="inlineStr">
        <is>
          <t>เยาวราช</t>
        </is>
      </c>
      <c r="C60" s="76" t="inlineStr">
        <is>
          <t>ร้านเครื่องดื่ม</t>
        </is>
      </c>
      <c r="D60" s="76" t="inlineStr">
        <is>
          <t>Siam Heng Huat Bai Cha Shop (สยามเฮงฮวด)</t>
        </is>
      </c>
      <c r="E60" s="76" t="n">
        <v>13.7411144</v>
      </c>
      <c r="F60" s="76" t="n">
        <v>100.509889</v>
      </c>
      <c r="G60" s="76" t="n">
        <v>0.16</v>
      </c>
      <c r="H60" s="76" t="inlineStr">
        <is>
          <t>36-42 ถ.แปลงนาม สัมพันธวงศ์</t>
        </is>
      </c>
      <c r="I60" s="76" t="inlineStr">
        <is>
          <t>ทุกวัน 09:00-21:00 (เสาร์)</t>
        </is>
      </c>
      <c r="J60" s="76" t="inlineStr">
        <is>
          <t>+66 63 457 7308</t>
        </is>
      </c>
      <c r="K60" s="77" t="inlineStr">
        <is>
          <t>https://www.google.com/maps/search/?api=1&amp;query_place_id=ChIJCcEDgCGZ4jARv0rIMlI8o8g</t>
        </is>
      </c>
      <c r="L60" s="76" t="inlineStr">
        <is>
          <t>เปิดให้บริการ (มีเวลาทำการใน Google Maps)</t>
        </is>
      </c>
    </row>
    <row r="61">
      <c r="A61" s="78" t="n">
        <v>60</v>
      </c>
      <c r="B61" s="78" t="inlineStr">
        <is>
          <t>เยาวราช</t>
        </is>
      </c>
      <c r="C61" s="78" t="inlineStr">
        <is>
          <t>ร้านเครื่องดื่ม</t>
        </is>
      </c>
      <c r="D61" s="78" t="inlineStr">
        <is>
          <t>THREE TEA POTS by Ew Kee Tea</t>
        </is>
      </c>
      <c r="E61" s="78" t="n">
        <v>13.742526</v>
      </c>
      <c r="F61" s="78" t="n">
        <v>100.5098384</v>
      </c>
      <c r="G61" s="78" t="n">
        <v>0.31</v>
      </c>
      <c r="H61" s="78" t="inlineStr">
        <is>
          <t>465-467 ถ.เจริญกรุง ป้อมปราบ ป้อมปราบฯ</t>
        </is>
      </c>
      <c r="I61" s="78" t="inlineStr">
        <is>
          <t>ทุกวัน 10:00-19:00 (เสาร์)</t>
        </is>
      </c>
      <c r="J61" s="78" t="inlineStr">
        <is>
          <t>+66 95 516 2125</t>
        </is>
      </c>
      <c r="K61" s="79" t="inlineStr">
        <is>
          <t>https://www.google.com/maps/search/?api=1&amp;query_place_id=ChIJt5EP4UqZ4jAR4sUvrUikzSE</t>
        </is>
      </c>
      <c r="L61" s="78" t="inlineStr">
        <is>
          <t>เปิดให้บริการ (มีเวลาทำการใน Google Maps)</t>
        </is>
      </c>
    </row>
    <row r="62">
      <c r="A62" s="76" t="n">
        <v>61</v>
      </c>
      <c r="B62" s="76" t="inlineStr">
        <is>
          <t>เยาวราช</t>
        </is>
      </c>
      <c r="C62" s="76" t="inlineStr">
        <is>
          <t>ร้านของหวาน</t>
        </is>
      </c>
      <c r="D62" s="76" t="inlineStr">
        <is>
          <t>Sweettime</t>
        </is>
      </c>
      <c r="E62" s="76" t="n">
        <v>13.740326</v>
      </c>
      <c r="F62" s="76" t="n">
        <v>100.5098555</v>
      </c>
      <c r="G62" s="76" t="n">
        <v>0.07000000000000001</v>
      </c>
      <c r="H62" s="76" t="inlineStr">
        <is>
          <t>436 ถ.เยาวราช สัมพันธวงศ์</t>
        </is>
      </c>
      <c r="I62" s="76" t="inlineStr">
        <is>
          <t>อ-อา 17:30-01:30 (ปิดจันทร์)</t>
        </is>
      </c>
      <c r="J62" s="76" t="inlineStr">
        <is>
          <t>+66 86 722 2458</t>
        </is>
      </c>
      <c r="K62" s="77" t="inlineStr">
        <is>
          <t>https://www.google.com/maps/search/?api=1&amp;query_place_id=ChIJI5IJnSGZ4jAR_BRDFrSbdH0</t>
        </is>
      </c>
      <c r="L62" s="76" t="inlineStr">
        <is>
          <t>เปิดให้บริการ (มีเวลาทำการใน Google Maps)</t>
        </is>
      </c>
    </row>
    <row r="63">
      <c r="A63" s="78" t="n">
        <v>62</v>
      </c>
      <c r="B63" s="78" t="inlineStr">
        <is>
          <t>เยาวราช</t>
        </is>
      </c>
      <c r="C63" s="78" t="inlineStr">
        <is>
          <t>ร้านของหวาน</t>
        </is>
      </c>
      <c r="D63" s="78" t="inlineStr">
        <is>
          <t>Ba Hao Tian Mi - Yaowarat</t>
        </is>
      </c>
      <c r="E63" s="78" t="n">
        <v>13.7408783</v>
      </c>
      <c r="F63" s="78" t="n">
        <v>100.5110849</v>
      </c>
      <c r="G63" s="78" t="n">
        <v>0.18</v>
      </c>
      <c r="H63" s="78" t="inlineStr">
        <is>
          <t>8 ถ.พลับพลาไชย/ผดุงด้าว สัมพันธวงศ์</t>
        </is>
      </c>
      <c r="I63" s="78" t="inlineStr">
        <is>
          <t>ทุกวัน 10:00-23:00 (เสาร์)</t>
        </is>
      </c>
      <c r="J63" s="78" t="inlineStr">
        <is>
          <t>+66 97 995 4543</t>
        </is>
      </c>
      <c r="K63" s="79" t="inlineStr">
        <is>
          <t>https://www.google.com/maps/search/?api=1&amp;query_place_id=ChIJ2dYIoeeZ4jARgBOBTWYpMrw</t>
        </is>
      </c>
      <c r="L63" s="78" t="inlineStr">
        <is>
          <t>เปิดให้บริการ (มีเวลาทำการใน Google Maps)</t>
        </is>
      </c>
    </row>
    <row r="64">
      <c r="A64" s="76" t="n">
        <v>63</v>
      </c>
      <c r="B64" s="76" t="inlineStr">
        <is>
          <t>เยาวราช</t>
        </is>
      </c>
      <c r="C64" s="76" t="inlineStr">
        <is>
          <t>ร้านของหวาน</t>
        </is>
      </c>
      <c r="D64" s="76" t="inlineStr">
        <is>
          <t>Che Muai Mi Wan (เฉ๋าก๊วยหมวยมีหวาน)</t>
        </is>
      </c>
      <c r="E64" s="76" t="n">
        <v>13.7422136</v>
      </c>
      <c r="F64" s="76" t="n">
        <v>100.510526</v>
      </c>
      <c r="G64" s="76" t="n">
        <v>0.29</v>
      </c>
      <c r="H64" s="76" t="inlineStr">
        <is>
          <t>534 ซ.เจริญไชย 2 ป้อมปราบ ป้อมปราบฯ</t>
        </is>
      </c>
      <c r="I64" s="76" t="inlineStr">
        <is>
          <t>ทุกวัน 09:00-22:00 (เสาร์)</t>
        </is>
      </c>
      <c r="J64" s="76" t="inlineStr">
        <is>
          <t>+66 80 621 3050</t>
        </is>
      </c>
      <c r="K64" s="77" t="inlineStr">
        <is>
          <t>https://www.google.com/maps/search/?api=1&amp;query_place_id=ChIJ87Kr8yGZ4jARCcnpigaGLP4</t>
        </is>
      </c>
      <c r="L64" s="76" t="inlineStr">
        <is>
          <t>เปิดให้บริการ (มีเวลาทำการใน Google Maps)</t>
        </is>
      </c>
    </row>
    <row r="65">
      <c r="A65" s="78" t="n">
        <v>64</v>
      </c>
      <c r="B65" s="78" t="inlineStr">
        <is>
          <t>คลองบางหลวง (Artist House / ตลาดน้ำคลองบางหลวง ภาษีเจริญ)</t>
        </is>
      </c>
      <c r="C65" s="78" t="inlineStr">
        <is>
          <t>ร้านอาหาร</t>
        </is>
      </c>
      <c r="D65" s="78" t="inlineStr">
        <is>
          <t>Khun Aoi's Kitchen (ครัวคุณอ้อย)</t>
        </is>
      </c>
      <c r="E65" s="78" t="n">
        <v>13.73075</v>
      </c>
      <c r="F65" s="78" t="n">
        <v>100.46354</v>
      </c>
      <c r="G65" s="78" t="n">
        <v>0.06</v>
      </c>
      <c r="H65" s="78" t="inlineStr">
        <is>
          <t>301 ถ.เพชรเกษม คูหาสวรรค์ ภาษีเจริญ</t>
        </is>
      </c>
      <c r="I65" s="78" t="inlineStr">
        <is>
          <t>ทุกวัน 07:00-19:00 (เสาร์)</t>
        </is>
      </c>
      <c r="J65" s="78" t="inlineStr">
        <is>
          <t>+66 84 076 1002</t>
        </is>
      </c>
      <c r="K65" s="79" t="inlineStr">
        <is>
          <t>https://www.google.com/maps/search/?api=1&amp;query_place_id=ChIJIwWhlEmY4jARKlgNkAARFJQ</t>
        </is>
      </c>
      <c r="L65" s="78" t="inlineStr">
        <is>
          <t>เปิดให้บริการ (มีเวลาทำการใน Google Maps)</t>
        </is>
      </c>
    </row>
    <row r="66">
      <c r="A66" s="76" t="n">
        <v>65</v>
      </c>
      <c r="B66" s="76" t="inlineStr">
        <is>
          <t>คลองบางหลวง (Artist House / ตลาดน้ำคลองบางหลวง ภาษีเจริญ)</t>
        </is>
      </c>
      <c r="C66" s="76" t="inlineStr">
        <is>
          <t>ร้านอาหาร</t>
        </is>
      </c>
      <c r="D66" s="76" t="inlineStr">
        <is>
          <t>Baan Plern Jitt (บ้านเพลินจิต)</t>
        </is>
      </c>
      <c r="E66" s="76" t="n">
        <v>13.73091</v>
      </c>
      <c r="F66" s="76" t="n">
        <v>100.46319</v>
      </c>
      <c r="G66" s="76" t="n">
        <v>0.03</v>
      </c>
      <c r="H66" s="76" t="inlineStr">
        <is>
          <t>เชิงสะพานช้าง ซ.เพชรเกษม 20 ภาษีเจริญ</t>
        </is>
      </c>
      <c r="I66" s="76" t="inlineStr">
        <is>
          <t>ทุกวัน 11:00-17:00 (ปิดวันพุธ)</t>
        </is>
      </c>
      <c r="J66" s="76" t="inlineStr">
        <is>
          <t>+66 97 241 4961</t>
        </is>
      </c>
      <c r="K66" s="77" t="inlineStr">
        <is>
          <t>https://www.google.com/maps/search/?api=1&amp;query_place_id=ChIJQd2TUOyZ4jAR_5b3Z6wVvzE</t>
        </is>
      </c>
      <c r="L66" s="76" t="inlineStr">
        <is>
          <t>เปิดให้บริการ (มีเวลาทำการใน Google Maps)</t>
        </is>
      </c>
    </row>
    <row r="67">
      <c r="A67" s="78" t="n">
        <v>66</v>
      </c>
      <c r="B67" s="78" t="inlineStr">
        <is>
          <t>คลองบางหลวง (Artist House / ตลาดน้ำคลองบางหลวง ภาษีเจริญ)</t>
        </is>
      </c>
      <c r="C67" s="78" t="inlineStr">
        <is>
          <t>ร้านอาหาร</t>
        </is>
      </c>
      <c r="D67" s="78" t="inlineStr">
        <is>
          <t>Chaai-Samai 2498 Bangkok</t>
        </is>
      </c>
      <c r="E67" s="78" t="n">
        <v>13.7263135</v>
      </c>
      <c r="F67" s="78" t="n">
        <v>100.458978</v>
      </c>
      <c r="G67" s="78" t="n">
        <v>0.72</v>
      </c>
      <c r="H67" s="78" t="inlineStr">
        <is>
          <t>97/2 ซ.เพชรเกษม 28 คูหาสวรรค์ ภาษีเจริญ</t>
        </is>
      </c>
      <c r="I67" s="78" t="inlineStr">
        <is>
          <t>ทุกวัน 10:00-20:00 (ปิดวันพุธ)</t>
        </is>
      </c>
      <c r="J67" s="78" t="inlineStr">
        <is>
          <t>+66 88 269 9542</t>
        </is>
      </c>
      <c r="K67" s="79" t="inlineStr">
        <is>
          <t>https://www.google.com/maps/search/?api=1&amp;query_place_id=ChIJk4cFjByZ4jAR9rbLbQM3G1c</t>
        </is>
      </c>
      <c r="L67" s="78" t="inlineStr">
        <is>
          <t>เปิดให้บริการ (มีเวลาทำการใน Google Maps)</t>
        </is>
      </c>
    </row>
    <row r="68">
      <c r="A68" s="76" t="n">
        <v>67</v>
      </c>
      <c r="B68" s="76" t="inlineStr">
        <is>
          <t>คลองบางหลวง (Artist House / ตลาดน้ำคลองบางหลวง ภาษีเจริญ)</t>
        </is>
      </c>
      <c r="C68" s="76" t="inlineStr">
        <is>
          <t>ร้านเครื่องดื่ม</t>
        </is>
      </c>
      <c r="D68" s="76" t="inlineStr">
        <is>
          <t>Baan Khlong Luang Cafe Khlongbangluang</t>
        </is>
      </c>
      <c r="E68" s="76" t="n">
        <v>13.73212</v>
      </c>
      <c r="F68" s="76" t="n">
        <v>100.46281</v>
      </c>
      <c r="G68" s="76" t="n">
        <v>0.12</v>
      </c>
      <c r="H68" s="76" t="inlineStr">
        <is>
          <t>503 คลองบางหลวง ซ.เพชรเกษม 28 คูหาสวรรค์ ภาษีเจริญ</t>
        </is>
      </c>
      <c r="I68" s="76" t="inlineStr">
        <is>
          <t>ทุกวัน 09:50-18:30 (เสาร์)</t>
        </is>
      </c>
      <c r="J68" s="76" t="inlineStr">
        <is>
          <t>-</t>
        </is>
      </c>
      <c r="K68" s="77" t="inlineStr">
        <is>
          <t>https://www.google.com/maps/search/?api=1&amp;query_place_id=ChIJ829BuVyZ4jARomvWRybOhI0</t>
        </is>
      </c>
      <c r="L68" s="76" t="inlineStr">
        <is>
          <t>เปิดให้บริการ (มีเวลาทำการใน Google Maps)</t>
        </is>
      </c>
    </row>
    <row r="69">
      <c r="A69" s="78" t="n">
        <v>68</v>
      </c>
      <c r="B69" s="78" t="inlineStr">
        <is>
          <t>คลองบางหลวง (Artist House / ตลาดน้ำคลองบางหลวง ภาษีเจริญ)</t>
        </is>
      </c>
      <c r="C69" s="78" t="inlineStr">
        <is>
          <t>ร้านเครื่องดื่ม</t>
        </is>
      </c>
      <c r="D69" s="78" t="inlineStr">
        <is>
          <t>คาเฟ่บ้านพึ่งศิลป์</t>
        </is>
      </c>
      <c r="E69" s="78" t="n">
        <v>13.7308418</v>
      </c>
      <c r="F69" s="78" t="n">
        <v>100.4634483</v>
      </c>
      <c r="G69" s="78" t="n">
        <v>0.04</v>
      </c>
      <c r="H69" s="78" t="inlineStr">
        <is>
          <t>297 ซ.เพชรเกษม 20 ปากคลองภาษีเจริญ</t>
        </is>
      </c>
      <c r="I69" s="78" t="inlineStr">
        <is>
          <t>ทุกวัน 09:30-18:30 (เสาร์)</t>
        </is>
      </c>
      <c r="J69" s="78" t="inlineStr">
        <is>
          <t>+66 84 076 1002</t>
        </is>
      </c>
      <c r="K69" s="79" t="inlineStr">
        <is>
          <t>https://www.google.com/maps/search/?api=1&amp;query_place_id=ChIJdwVRcayZ4jARWYOrvCMw5XM</t>
        </is>
      </c>
      <c r="L69" s="78" t="inlineStr">
        <is>
          <t>เปิดให้บริการ (มีเวลาทำการใน Google Maps)</t>
        </is>
      </c>
    </row>
    <row r="70">
      <c r="A70" s="76" t="n">
        <v>69</v>
      </c>
      <c r="B70" s="76" t="inlineStr">
        <is>
          <t>คลองบางหลวง (Artist House / ตลาดน้ำคลองบางหลวง ภาษีเจริญ)</t>
        </is>
      </c>
      <c r="C70" s="76" t="inlineStr">
        <is>
          <t>ร้านเครื่องดื่ม</t>
        </is>
      </c>
      <c r="D70" s="76" t="inlineStr">
        <is>
          <t>The Artist House Bangkok (คาเฟ่ในบ้านศิลปิน)</t>
        </is>
      </c>
      <c r="E70" s="76" t="n">
        <v>13.731232</v>
      </c>
      <c r="F70" s="76" t="n">
        <v>100.4633342</v>
      </c>
      <c r="G70" s="76" t="n">
        <v>0.01</v>
      </c>
      <c r="H70" s="76" t="inlineStr">
        <is>
          <t>309 ถ.เพชรเกษม คูหาสวรรค์ ภาษีเจริญ</t>
        </is>
      </c>
      <c r="I70" s="76" t="inlineStr">
        <is>
          <t>จ-ศ,อา 10:00-18:00 / ส 10:00-19:00</t>
        </is>
      </c>
      <c r="J70" s="76" t="inlineStr">
        <is>
          <t>+66 65 691 5655</t>
        </is>
      </c>
      <c r="K70" s="77" t="inlineStr">
        <is>
          <t>https://www.google.com/maps/search/?api=1&amp;query_place_id=ChIJF6uVAzt9HTEROKM0WKZMU7M</t>
        </is>
      </c>
      <c r="L70" s="76" t="inlineStr">
        <is>
          <t>เปิดให้บริการ (มีเวลาทำการใน Google Maps)</t>
        </is>
      </c>
    </row>
    <row r="71">
      <c r="A71" s="78" t="n">
        <v>70</v>
      </c>
      <c r="B71" s="78" t="inlineStr">
        <is>
          <t>คลองบางหลวง (Artist House / ตลาดน้ำคลองบางหลวง ภาษีเจริญ)</t>
        </is>
      </c>
      <c r="C71" s="78" t="inlineStr">
        <is>
          <t>ร้านของหวาน</t>
        </is>
      </c>
      <c r="D71" s="78" t="inlineStr">
        <is>
          <t>ขนมเบื้องแม่แอด (คลองบางหลวง)</t>
        </is>
      </c>
      <c r="E71" s="78" t="n">
        <v>13.73047</v>
      </c>
      <c r="F71" s="78" t="n">
        <v>100.46355</v>
      </c>
      <c r="G71" s="78" t="n">
        <v>0.09</v>
      </c>
      <c r="H71" s="78" t="inlineStr">
        <is>
          <t>ซ.เพชรเกษม 20 ปากคลองภาษีเจริญ</t>
        </is>
      </c>
      <c r="I71" s="78" t="inlineStr">
        <is>
          <t>ทุกวัน 12:00-18:00 (เสาร์)</t>
        </is>
      </c>
      <c r="J71" s="78" t="inlineStr">
        <is>
          <t>+66 94 551 5308</t>
        </is>
      </c>
      <c r="K71" s="79" t="inlineStr">
        <is>
          <t>https://www.google.com/maps/search/?api=1&amp;query_place_id=ChIJIRC5fQCZ4jARxXARpHOPKzM</t>
        </is>
      </c>
      <c r="L71" s="78" t="inlineStr">
        <is>
          <t>เปิดให้บริการ (มีเวลาทำการใน Google Maps)</t>
        </is>
      </c>
    </row>
    <row r="72">
      <c r="A72" s="76" t="n">
        <v>71</v>
      </c>
      <c r="B72" s="76" t="inlineStr">
        <is>
          <t>คลองบางหลวง (Artist House / ตลาดน้ำคลองบางหลวง ภาษีเจริญ)</t>
        </is>
      </c>
      <c r="C72" s="76" t="inlineStr">
        <is>
          <t>ร้านของหวาน</t>
        </is>
      </c>
      <c r="D72" s="76" t="inlineStr">
        <is>
          <t>เศรษฐีนี ขนมไทย (Zetinee)</t>
        </is>
      </c>
      <c r="E72" s="76" t="n">
        <v>13.73043</v>
      </c>
      <c r="F72" s="76" t="n">
        <v>100.46417</v>
      </c>
      <c r="G72" s="76" t="n">
        <v>0.13</v>
      </c>
      <c r="H72" s="76" t="inlineStr">
        <is>
          <t>1330/32 ซ.พิสิษฐ์บรรณากร วัดท่าพระ บางกอกใหญ่</t>
        </is>
      </c>
      <c r="I72" s="76" t="inlineStr">
        <is>
          <t>ทุกวัน 10:00-18:00 (เสาร์)</t>
        </is>
      </c>
      <c r="J72" s="76" t="inlineStr">
        <is>
          <t>+66 65 662 6559</t>
        </is>
      </c>
      <c r="K72" s="77" t="inlineStr">
        <is>
          <t>https://www.google.com/maps/search/?api=1&amp;query_place_id=ChIJT9ICBAOZ4jARCo3fwpDrQmw</t>
        </is>
      </c>
      <c r="L72" s="76" t="inlineStr">
        <is>
          <t>เปิดให้บริการ (มีเวลาทำการใน Google Maps)</t>
        </is>
      </c>
    </row>
    <row r="73">
      <c r="A73" s="78" t="n">
        <v>72</v>
      </c>
      <c r="B73" s="78" t="inlineStr">
        <is>
          <t>คลองบางหลวง (Artist House / ตลาดน้ำคลองบางหลวง ภาษีเจริญ)</t>
        </is>
      </c>
      <c r="C73" s="78" t="inlineStr">
        <is>
          <t>ร้านของหวาน</t>
        </is>
      </c>
      <c r="D73" s="78" t="inlineStr">
        <is>
          <t>Meow Meow Roll - ขนมโตเกียว</t>
        </is>
      </c>
      <c r="E73" s="78" t="n">
        <v>13.7316</v>
      </c>
      <c r="F73" s="78" t="n">
        <v>100.46248</v>
      </c>
      <c r="G73" s="78" t="n">
        <v>0.1</v>
      </c>
      <c r="H73" s="78" t="inlineStr">
        <is>
          <t>178 คูหาสวรรค์ ภาษีเจริญ</t>
        </is>
      </c>
      <c r="I73" s="78" t="inlineStr">
        <is>
          <t>พฤ-อา 11:00-17:30 (ปิดจ-พ)</t>
        </is>
      </c>
      <c r="J73" s="78" t="inlineStr">
        <is>
          <t>+66 85 075 5599</t>
        </is>
      </c>
      <c r="K73" s="79" t="inlineStr">
        <is>
          <t>https://www.google.com/maps/search/?api=1&amp;query_place_id=ChIJ-xFr-ieZ4jAR7Eyiebjcuwc</t>
        </is>
      </c>
      <c r="L73" s="78" t="inlineStr">
        <is>
          <t>เปิดให้บริการ (มีเวลาทำการใน Google Maps)</t>
        </is>
      </c>
    </row>
    <row r="74">
      <c r="A74" s="76" t="n">
        <v>73</v>
      </c>
      <c r="B74" s="76" t="inlineStr">
        <is>
          <t>ย่านพระอาทิตย์ (ถ.พระอาทิตย์ บางลำพู)</t>
        </is>
      </c>
      <c r="C74" s="76" t="inlineStr">
        <is>
          <t>ร้านอาหาร</t>
        </is>
      </c>
      <c r="D74" s="76" t="inlineStr">
        <is>
          <t>Nopparat Cuisine and Gallery</t>
        </is>
      </c>
      <c r="E74" s="76" t="n">
        <v>13.76354</v>
      </c>
      <c r="F74" s="76" t="n">
        <v>100.49551</v>
      </c>
      <c r="G74" s="76" t="n">
        <v>0.12</v>
      </c>
      <c r="H74" s="76" t="inlineStr">
        <is>
          <t>130-7/132 ถ.พระอาทิตย์ ชนะสงคราม พระนคร</t>
        </is>
      </c>
      <c r="I74" s="76" t="inlineStr">
        <is>
          <t>อ-อา 11:00-14:30, 17:30-21:00 (ปิดจันทร์)</t>
        </is>
      </c>
      <c r="J74" s="76" t="inlineStr">
        <is>
          <t>+66 81 850 0770</t>
        </is>
      </c>
      <c r="K74" s="77" t="inlineStr">
        <is>
          <t>https://www.google.com/maps/search/?api=1&amp;query_place_id=ChIJOcegC3KZ4jARcSGQACiRaHw</t>
        </is>
      </c>
      <c r="L74" s="76" t="inlineStr">
        <is>
          <t>เปิดให้บริการ (มีเวลาทำการใน Google Maps)</t>
        </is>
      </c>
    </row>
    <row r="75">
      <c r="A75" s="78" t="n">
        <v>74</v>
      </c>
      <c r="B75" s="78" t="inlineStr">
        <is>
          <t>ย่านพระอาทิตย์ (ถ.พระอาทิตย์ บางลำพู)</t>
        </is>
      </c>
      <c r="C75" s="78" t="inlineStr">
        <is>
          <t>ร้านอาหาร</t>
        </is>
      </c>
      <c r="D75" s="78" t="inlineStr">
        <is>
          <t>Arthit Noodle Club | ก๋วยเตี๋ยวต้มยำ</t>
        </is>
      </c>
      <c r="E75" s="78" t="n">
        <v>13.76347</v>
      </c>
      <c r="F75" s="78" t="n">
        <v>100.4943</v>
      </c>
      <c r="G75" s="78" t="n">
        <v>0.04</v>
      </c>
      <c r="H75" s="78" t="inlineStr">
        <is>
          <t>47/1 ถ.พระอาทิตย์ ชนะสงคราม พระนคร</t>
        </is>
      </c>
      <c r="I75" s="78" t="inlineStr">
        <is>
          <t>ทุกวัน 09:00-19:00 (เสาร์)</t>
        </is>
      </c>
      <c r="J75" s="78" t="inlineStr">
        <is>
          <t>+66 92 250 0984</t>
        </is>
      </c>
      <c r="K75" s="79" t="inlineStr">
        <is>
          <t>https://www.google.com/maps/search/?api=1&amp;query_place_id=ChIJbRv0f9uZ4jAR9pXEQs6Vc4Y</t>
        </is>
      </c>
      <c r="L75" s="78" t="inlineStr">
        <is>
          <t>เปิดให้บริการ (มีเวลาทำการใน Google Maps)</t>
        </is>
      </c>
    </row>
    <row r="76">
      <c r="A76" s="76" t="n">
        <v>75</v>
      </c>
      <c r="B76" s="76" t="inlineStr">
        <is>
          <t>ย่านพระอาทิตย์ (ถ.พระอาทิตย์ บางลำพู)</t>
        </is>
      </c>
      <c r="C76" s="76" t="inlineStr">
        <is>
          <t>ร้านอาหาร</t>
        </is>
      </c>
      <c r="D76" s="76" t="inlineStr">
        <is>
          <t>Botanic Backyard Bar &amp; Restaurant</t>
        </is>
      </c>
      <c r="E76" s="76" t="n">
        <v>13.76184</v>
      </c>
      <c r="F76" s="76" t="n">
        <v>100.49465</v>
      </c>
      <c r="G76" s="76" t="n">
        <v>0.15</v>
      </c>
      <c r="H76" s="76" t="inlineStr">
        <is>
          <t>25/1 ตรอกชนะสงคราม ซ.รามบุตรี หลังวัดชนะสงคราม</t>
        </is>
      </c>
      <c r="I76" s="76" t="inlineStr">
        <is>
          <t>ทุกวัน 10:00-24:00 (เสาร์)</t>
        </is>
      </c>
      <c r="J76" s="76" t="inlineStr">
        <is>
          <t>+66 89 973 9918</t>
        </is>
      </c>
      <c r="K76" s="77" t="inlineStr">
        <is>
          <t>https://www.google.com/maps/search/?api=1&amp;query_place_id=ChIJMwd7y3-Z4jAR6jv3ZlUVEC0</t>
        </is>
      </c>
      <c r="L76" s="76" t="inlineStr">
        <is>
          <t>เปิดให้บริการ (มีเวลาทำการใน Google Maps)</t>
        </is>
      </c>
    </row>
    <row r="77">
      <c r="A77" s="78" t="n">
        <v>76</v>
      </c>
      <c r="B77" s="78" t="inlineStr">
        <is>
          <t>ย่านพระอาทิตย์ (ถ.พระอาทิตย์ บางลำพู)</t>
        </is>
      </c>
      <c r="C77" s="78" t="inlineStr">
        <is>
          <t>ร้านเครื่องดื่ม</t>
        </is>
      </c>
      <c r="D77" s="78" t="inlineStr">
        <is>
          <t>Petit Soleil</t>
        </is>
      </c>
      <c r="E77" s="78" t="n">
        <v>13.76237</v>
      </c>
      <c r="F77" s="78" t="n">
        <v>100.49321</v>
      </c>
      <c r="G77" s="78" t="n">
        <v>0.17</v>
      </c>
      <c r="H77" s="78" t="inlineStr">
        <is>
          <t>23 ถ.พระอาทิตย์ ชนะสงคราม พระนคร</t>
        </is>
      </c>
      <c r="I77" s="78" t="inlineStr">
        <is>
          <t>ทุกวัน 07:00-19:00 (เสาร์)</t>
        </is>
      </c>
      <c r="J77" s="78" t="inlineStr">
        <is>
          <t>+66 86 303 2811</t>
        </is>
      </c>
      <c r="K77" s="79" t="inlineStr">
        <is>
          <t>https://www.google.com/maps/search/?api=1&amp;query_place_id=ChIJO7ptd-OZ4jARRc08spnhUY4</t>
        </is>
      </c>
      <c r="L77" s="78" t="inlineStr">
        <is>
          <t>เปิดให้บริการ (มีเวลาทำการใน Google Maps)</t>
        </is>
      </c>
    </row>
    <row r="78">
      <c r="A78" s="76" t="n">
        <v>77</v>
      </c>
      <c r="B78" s="76" t="inlineStr">
        <is>
          <t>ย่านพระอาทิตย์ (ถ.พระอาทิตย์ บางลำพู)</t>
        </is>
      </c>
      <c r="C78" s="76" t="inlineStr">
        <is>
          <t>ร้านเครื่องดื่ม</t>
        </is>
      </c>
      <c r="D78" s="76" t="inlineStr">
        <is>
          <t>The Sourdough Club</t>
        </is>
      </c>
      <c r="E78" s="76" t="n">
        <v>13.76353</v>
      </c>
      <c r="F78" s="76" t="n">
        <v>100.49425</v>
      </c>
      <c r="G78" s="76" t="n">
        <v>0.05</v>
      </c>
      <c r="H78" s="76" t="inlineStr">
        <is>
          <t>47 ถ.พระอาทิตย์ ชนะสงคราม พระนคร</t>
        </is>
      </c>
      <c r="I78" s="76" t="inlineStr">
        <is>
          <t>ทุกวัน 08:00-17:00 (เสาร์)</t>
        </is>
      </c>
      <c r="J78" s="76" t="inlineStr">
        <is>
          <t>+66 89 788 5222</t>
        </is>
      </c>
      <c r="K78" s="77" t="inlineStr">
        <is>
          <t>https://www.google.com/maps/search/?api=1&amp;query_place_id=ChIJlYLfvU6Z4jARmwl8wPMYGCw</t>
        </is>
      </c>
      <c r="L78" s="76" t="inlineStr">
        <is>
          <t>เปิดให้บริการ (มีเวลาทำการใน Google Maps)</t>
        </is>
      </c>
    </row>
    <row r="79">
      <c r="A79" s="78" t="n">
        <v>78</v>
      </c>
      <c r="B79" s="78" t="inlineStr">
        <is>
          <t>ย่านพระอาทิตย์ (ถ.พระอาทิตย์ บางลำพู)</t>
        </is>
      </c>
      <c r="C79" s="78" t="inlineStr">
        <is>
          <t>ร้านเครื่องดื่ม</t>
        </is>
      </c>
      <c r="D79" s="78" t="inlineStr">
        <is>
          <t>Sheepshank Public House</t>
        </is>
      </c>
      <c r="E79" s="78" t="n">
        <v>13.76358</v>
      </c>
      <c r="F79" s="78" t="n">
        <v>100.49429</v>
      </c>
      <c r="G79" s="78" t="n">
        <v>0.05</v>
      </c>
      <c r="H79" s="78" t="inlineStr">
        <is>
          <t>47 ถ.พระอาทิตย์ ชนะสงคราม พระนคร</t>
        </is>
      </c>
      <c r="I79" s="78" t="inlineStr">
        <is>
          <t>ทุกวัน 11:00-01:00 (เสาร์)</t>
        </is>
      </c>
      <c r="J79" s="78" t="inlineStr">
        <is>
          <t>+66 2 629 5165</t>
        </is>
      </c>
      <c r="K79" s="79" t="inlineStr">
        <is>
          <t>https://www.google.com/maps/search/?api=1&amp;query_place_id=ChIJSWv0PnKZ4jAR5t3IqO36gUA</t>
        </is>
      </c>
      <c r="L79" s="78" t="inlineStr">
        <is>
          <t>เปิดให้บริการ (มีเวลาทำการใน Google Maps)</t>
        </is>
      </c>
    </row>
    <row r="80">
      <c r="A80" s="76" t="n">
        <v>79</v>
      </c>
      <c r="B80" s="76" t="inlineStr">
        <is>
          <t>ย่านพระอาทิตย์ (ถ.พระอาทิตย์ บางลำพู)</t>
        </is>
      </c>
      <c r="C80" s="76" t="inlineStr">
        <is>
          <t>ร้านของหวาน</t>
        </is>
      </c>
      <c r="D80" s="76" t="inlineStr">
        <is>
          <t>Coconut Culture Bangkok</t>
        </is>
      </c>
      <c r="E80" s="76" t="n">
        <v>13.76273</v>
      </c>
      <c r="F80" s="76" t="n">
        <v>100.49453</v>
      </c>
      <c r="G80" s="76" t="n">
        <v>0.05</v>
      </c>
      <c r="H80" s="76" t="inlineStr">
        <is>
          <t>100/6 ถ.พระอาทิตย์ ชนะสงคราม พระนคร</t>
        </is>
      </c>
      <c r="I80" s="76" t="inlineStr">
        <is>
          <t>ทุกวัน 10:00-20:00 (เสาร์)</t>
        </is>
      </c>
      <c r="J80" s="76" t="inlineStr">
        <is>
          <t>+66 98 903 4714</t>
        </is>
      </c>
      <c r="K80" s="77" t="inlineStr">
        <is>
          <t>https://www.google.com/maps/search/?api=1&amp;query_place_id=ChIJtdWsZleZ4jARJHddpcihlco</t>
        </is>
      </c>
      <c r="L80" s="76" t="inlineStr">
        <is>
          <t>เปิดให้บริการ (มีเวลาทำการใน Google Maps)</t>
        </is>
      </c>
    </row>
    <row r="81">
      <c r="A81" s="78" t="n">
        <v>80</v>
      </c>
      <c r="B81" s="78" t="inlineStr">
        <is>
          <t>ย่านพระอาทิตย์ (ถ.พระอาทิตย์ บางลำพู)</t>
        </is>
      </c>
      <c r="C81" s="78" t="inlineStr">
        <is>
          <t>ร้านของหวาน</t>
        </is>
      </c>
      <c r="D81" s="78" t="inlineStr">
        <is>
          <t>CIT Coconut Ice Cream</t>
        </is>
      </c>
      <c r="E81" s="78" t="n">
        <v>13.76327</v>
      </c>
      <c r="F81" s="78" t="n">
        <v>100.49467</v>
      </c>
      <c r="G81" s="78" t="n">
        <v>0.02</v>
      </c>
      <c r="H81" s="78" t="inlineStr">
        <is>
          <t>47/1 ถ.พระอาทิตย์ ชนะสงคราม พระนคร</t>
        </is>
      </c>
      <c r="I81" s="78" t="inlineStr">
        <is>
          <t>อ-อา 10:00-17:30 (ปิดจันทร์)</t>
        </is>
      </c>
      <c r="J81" s="78" t="inlineStr">
        <is>
          <t>-</t>
        </is>
      </c>
      <c r="K81" s="79" t="inlineStr">
        <is>
          <t>https://www.google.com/maps/search/?api=1&amp;query_place_id=ChIJ39FsRACZ4jARUDpm-30ycuY</t>
        </is>
      </c>
      <c r="L81" s="78" t="inlineStr">
        <is>
          <t>เปิดให้บริการ (มีเวลาทำการใน Google Maps)</t>
        </is>
      </c>
    </row>
    <row r="82">
      <c r="A82" s="76" t="n">
        <v>81</v>
      </c>
      <c r="B82" s="76" t="inlineStr">
        <is>
          <t>ย่านพระอาทิตย์ (ถ.พระอาทิตย์ บางลำพู)</t>
        </is>
      </c>
      <c r="C82" s="76" t="inlineStr">
        <is>
          <t>ร้านของหวาน</t>
        </is>
      </c>
      <c r="D82" s="76" t="inlineStr">
        <is>
          <t>ร้านขนมไทย แม่งามจิต บางลำพู</t>
        </is>
      </c>
      <c r="E82" s="76" t="n">
        <v>13.76255</v>
      </c>
      <c r="F82" s="76" t="n">
        <v>100.49794</v>
      </c>
      <c r="G82" s="76" t="n">
        <v>0.38</v>
      </c>
      <c r="H82" s="76" t="inlineStr">
        <is>
          <t>152 ถ.พระสุเมรุ ชนะสงคราม พระนคร</t>
        </is>
      </c>
      <c r="I82" s="76" t="inlineStr">
        <is>
          <t>ทุกวัน 09:00-18:00 (เสาร์)</t>
        </is>
      </c>
      <c r="J82" s="76" t="inlineStr">
        <is>
          <t>-</t>
        </is>
      </c>
      <c r="K82" s="77" t="inlineStr">
        <is>
          <t>https://www.google.com/maps/search/?api=1&amp;query_place_id=ChIJwb40l2yZ4jAR1fitphBOjAU</t>
        </is>
      </c>
      <c r="L82" s="76" t="inlineStr">
        <is>
          <t>เปิดให้บริการ (มีเวลาทำการใน Google Maps)</t>
        </is>
      </c>
    </row>
    <row r="83">
      <c r="A83" s="78" t="n">
        <v>82</v>
      </c>
      <c r="B83" s="78" t="inlineStr">
        <is>
          <t>หอศิลปวัฒนธรรมแห่งกรุงเทพมหานคร (BACC)</t>
        </is>
      </c>
      <c r="C83" s="78" t="inlineStr">
        <is>
          <t>ร้านอาหาร</t>
        </is>
      </c>
      <c r="D83" s="78" t="inlineStr">
        <is>
          <t>Pu Tie Shrimp Wonton Noodles (ปูตี๊ บะหมี่เกี๊ยวกุ้ง)</t>
        </is>
      </c>
      <c r="E83" s="78" t="n">
        <v>13.74665</v>
      </c>
      <c r="F83" s="78" t="n">
        <v>100.53039</v>
      </c>
      <c r="G83" s="78" t="n">
        <v>0.02</v>
      </c>
      <c r="H83" s="78" t="inlineStr">
        <is>
          <t>933/1-7 ถ.พระราม 1 วังใหม่ ปทุมวัน</t>
        </is>
      </c>
      <c r="I83" s="78" t="inlineStr">
        <is>
          <t>อ-อา 11:00-18:40 (ปิดจันทร์)</t>
        </is>
      </c>
      <c r="J83" s="78" t="inlineStr">
        <is>
          <t>-</t>
        </is>
      </c>
      <c r="K83" s="79" t="inlineStr">
        <is>
          <t>https://www.google.com/maps/search/?api=1&amp;query_place_id=ChIJOT6MWs2e4jARBD-fu38Nrho</t>
        </is>
      </c>
      <c r="L83" s="78" t="inlineStr">
        <is>
          <t>เปิดให้บริการ (มีเวลาทำการใน Google Maps)</t>
        </is>
      </c>
    </row>
    <row r="84">
      <c r="A84" s="76" t="n">
        <v>83</v>
      </c>
      <c r="B84" s="76" t="inlineStr">
        <is>
          <t>หอศิลปวัฒนธรรมแห่งกรุงเทพมหานคร (BACC)</t>
        </is>
      </c>
      <c r="C84" s="76" t="inlineStr">
        <is>
          <t>ร้านอาหาร</t>
        </is>
      </c>
      <c r="D84" s="76" t="inlineStr">
        <is>
          <t>KrobKun (กรอบคุณ) ชั้น 2 BACC</t>
        </is>
      </c>
      <c r="E84" s="76" t="n">
        <v>13.74672</v>
      </c>
      <c r="F84" s="76" t="n">
        <v>100.53016</v>
      </c>
      <c r="G84" s="76" t="n">
        <v>0.01</v>
      </c>
      <c r="H84" s="76" t="inlineStr">
        <is>
          <t>ชั้น 2 BACC 939 ถ.พระราม 1 วังใหม่ ปทุมวัน</t>
        </is>
      </c>
      <c r="I84" s="76" t="inlineStr">
        <is>
          <t>อ-อา 11:00-18:30 (ปิดจันทร์)</t>
        </is>
      </c>
      <c r="J84" s="76" t="inlineStr">
        <is>
          <t>+66 95 246 6942</t>
        </is>
      </c>
      <c r="K84" s="77" t="inlineStr">
        <is>
          <t>https://www.google.com/maps/search/?api=1&amp;query_place_id=ChIJq5Vg_qyf4jARBngvlHb1nhQ</t>
        </is>
      </c>
      <c r="L84" s="76" t="inlineStr">
        <is>
          <t>เปิดให้บริการ (มีเวลาทำการใน Google Maps)</t>
        </is>
      </c>
    </row>
    <row r="85">
      <c r="A85" s="78" t="n">
        <v>84</v>
      </c>
      <c r="B85" s="78" t="inlineStr">
        <is>
          <t>หอศิลปวัฒนธรรมแห่งกรุงเทพมหานคร (BACC)</t>
        </is>
      </c>
      <c r="C85" s="78" t="inlineStr">
        <is>
          <t>ร้านอาหาร</t>
        </is>
      </c>
      <c r="D85" s="78" t="inlineStr">
        <is>
          <t>Le Pla Daak (เลอปลาแดก) ชั้น 4 BACC</t>
        </is>
      </c>
      <c r="E85" s="78" t="n">
        <v>13.74683</v>
      </c>
      <c r="F85" s="78" t="n">
        <v>100.53044</v>
      </c>
      <c r="G85" s="78" t="n">
        <v>0.03</v>
      </c>
      <c r="H85" s="78" t="inlineStr">
        <is>
          <t>ชั้น 4 BACC 939 ถ.พระราม 1 วังใหม่ ปทุมวัน</t>
        </is>
      </c>
      <c r="I85" s="78" t="inlineStr">
        <is>
          <t>อ-อา 10:30-19:00 (ปิดจันทร์)</t>
        </is>
      </c>
      <c r="J85" s="78" t="inlineStr">
        <is>
          <t>+66 95 390 9245</t>
        </is>
      </c>
      <c r="K85" s="79" t="inlineStr">
        <is>
          <t>https://www.google.com/maps/search/?api=1&amp;query_place_id=ChIJx5kHh42f4jARhsqSPkVXyi8</t>
        </is>
      </c>
      <c r="L85" s="78" t="inlineStr">
        <is>
          <t>เปิดให้บริการ (มีเวลาทำการใน Google Maps)</t>
        </is>
      </c>
    </row>
    <row r="86">
      <c r="A86" s="76" t="n">
        <v>85</v>
      </c>
      <c r="B86" s="76" t="inlineStr">
        <is>
          <t>หอศิลปวัฒนธรรมแห่งกรุงเทพมหานคร (BACC)</t>
        </is>
      </c>
      <c r="C86" s="76" t="inlineStr">
        <is>
          <t>ร้านเครื่องดื่ม</t>
        </is>
      </c>
      <c r="D86" s="76" t="inlineStr">
        <is>
          <t>Gallery Drip Coffee</t>
        </is>
      </c>
      <c r="E86" s="76" t="n">
        <v>13.74669</v>
      </c>
      <c r="F86" s="76" t="n">
        <v>100.53043</v>
      </c>
      <c r="G86" s="76" t="n">
        <v>0.02</v>
      </c>
      <c r="H86" s="76" t="inlineStr">
        <is>
          <t>BACC 939 ถ.พระราม 1 วังใหม่ ปทุมวัน</t>
        </is>
      </c>
      <c r="I86" s="76" t="inlineStr">
        <is>
          <t>อ-อา 10:30-19:30 (ปิดจันทร์)</t>
        </is>
      </c>
      <c r="J86" s="76" t="inlineStr">
        <is>
          <t>+66 81 917 2131</t>
        </is>
      </c>
      <c r="K86" s="77" t="inlineStr">
        <is>
          <t>https://www.google.com/maps/search/?api=1&amp;query_place_id=ChIJ6e7hT82e4jAR4HgD4RW37Tk</t>
        </is>
      </c>
      <c r="L86" s="76" t="inlineStr">
        <is>
          <t>เปิดให้บริการ (มีเวลาทำการใน Google Maps)</t>
        </is>
      </c>
    </row>
    <row r="87">
      <c r="A87" s="78" t="n">
        <v>86</v>
      </c>
      <c r="B87" s="78" t="inlineStr">
        <is>
          <t>หอศิลปวัฒนธรรมแห่งกรุงเทพมหานคร (BACC)</t>
        </is>
      </c>
      <c r="C87" s="78" t="inlineStr">
        <is>
          <t>ร้านเครื่องดื่ม</t>
        </is>
      </c>
      <c r="D87" s="78" t="inlineStr">
        <is>
          <t>Booms (ชั้น 3 BACC)</t>
        </is>
      </c>
      <c r="E87" s="78" t="n">
        <v>13.74677</v>
      </c>
      <c r="F87" s="78" t="n">
        <v>100.53037</v>
      </c>
      <c r="G87" s="78" t="n">
        <v>0.02</v>
      </c>
      <c r="H87" s="78" t="inlineStr">
        <is>
          <t>ชั้น 3 BACC 939 ถ.พระราม 1 วังใหม่ ปทุมวัน</t>
        </is>
      </c>
      <c r="I87" s="78" t="inlineStr">
        <is>
          <t>อ-อา 10:00-19:00 (ปิดจันทร์)</t>
        </is>
      </c>
      <c r="J87" s="78" t="inlineStr">
        <is>
          <t>+66 92 394 5993</t>
        </is>
      </c>
      <c r="K87" s="79" t="inlineStr">
        <is>
          <t>https://www.google.com/maps/search/?api=1&amp;query_place_id=ChIJvVfRke6Z4jARtfVQBDEcrGs</t>
        </is>
      </c>
      <c r="L87" s="78" t="inlineStr">
        <is>
          <t>เปิดให้บริการ (มีเวลาทำการใน Google Maps)</t>
        </is>
      </c>
    </row>
    <row r="88">
      <c r="A88" s="76" t="n">
        <v>87</v>
      </c>
      <c r="B88" s="76" t="inlineStr">
        <is>
          <t>หอศิลปวัฒนธรรมแห่งกรุงเทพมหานคร (BACC)</t>
        </is>
      </c>
      <c r="C88" s="76" t="inlineStr">
        <is>
          <t>ร้านเครื่องดื่ม</t>
        </is>
      </c>
      <c r="D88" s="76" t="inlineStr">
        <is>
          <t>LIBI HOME</t>
        </is>
      </c>
      <c r="E88" s="76" t="n">
        <v>13.74845</v>
      </c>
      <c r="F88" s="76" t="n">
        <v>100.52875</v>
      </c>
      <c r="G88" s="76" t="n">
        <v>0.25</v>
      </c>
      <c r="H88" s="76" t="inlineStr">
        <is>
          <t>9 ซ.เกษมสันต์ 2 วังใหม่ ปทุมวัน</t>
        </is>
      </c>
      <c r="I88" s="76" t="inlineStr">
        <is>
          <t>ทุกวัน 09:00-18:00 (เสาร์)</t>
        </is>
      </c>
      <c r="J88" s="76" t="inlineStr">
        <is>
          <t>+66 82 919 1591</t>
        </is>
      </c>
      <c r="K88" s="77" t="inlineStr">
        <is>
          <t>https://www.google.com/maps/search/?api=1&amp;query_place_id=ChIJtbPNdyeZ4jAREEaHyqnCwQQ</t>
        </is>
      </c>
      <c r="L88" s="76" t="inlineStr">
        <is>
          <t>เปิดให้บริการ (มีเวลาทำการใน Google Maps)</t>
        </is>
      </c>
    </row>
    <row r="89">
      <c r="A89" s="78" t="n">
        <v>88</v>
      </c>
      <c r="B89" s="78" t="inlineStr">
        <is>
          <t>หอศิลปวัฒนธรรมแห่งกรุงเทพมหานคร (BACC)</t>
        </is>
      </c>
      <c r="C89" s="78" t="inlineStr">
        <is>
          <t>ร้านของหวาน</t>
        </is>
      </c>
      <c r="D89" s="78" t="inlineStr">
        <is>
          <t>kanomsiam Siam Paragon (ขนมสยาม)</t>
        </is>
      </c>
      <c r="E89" s="78" t="n">
        <v>13.74682</v>
      </c>
      <c r="F89" s="78" t="n">
        <v>100.53509</v>
      </c>
      <c r="G89" s="78" t="n">
        <v>0.53</v>
      </c>
      <c r="H89" s="78" t="inlineStr">
        <is>
          <t>ชั้น G สยามพารากอน 991 ถ.พระราม 1 ปทุมวัน</t>
        </is>
      </c>
      <c r="I89" s="78" t="inlineStr">
        <is>
          <t>ทุกวัน 10:00-22:00 (เสาร์)</t>
        </is>
      </c>
      <c r="J89" s="78" t="inlineStr">
        <is>
          <t>+66 62 936 5392</t>
        </is>
      </c>
      <c r="K89" s="79" t="inlineStr">
        <is>
          <t>https://www.google.com/maps/search/?api=1&amp;query_place_id=ChIJ7c1QQqOZ4jARG6a6kPo38oo</t>
        </is>
      </c>
      <c r="L89" s="78" t="inlineStr">
        <is>
          <t>เปิดให้บริการ (มีเวลาทำการใน Google Maps)</t>
        </is>
      </c>
    </row>
    <row r="90">
      <c r="A90" s="76" t="n">
        <v>89</v>
      </c>
      <c r="B90" s="76" t="inlineStr">
        <is>
          <t>หอศิลปวัฒนธรรมแห่งกรุงเทพมหานคร (BACC)</t>
        </is>
      </c>
      <c r="C90" s="76" t="inlineStr">
        <is>
          <t>ร้านของหวาน</t>
        </is>
      </c>
      <c r="D90" s="76" t="inlineStr">
        <is>
          <t>Mil Toast House - Siam Square Soi 3</t>
        </is>
      </c>
      <c r="E90" s="76" t="n">
        <v>13.74487</v>
      </c>
      <c r="F90" s="76" t="n">
        <v>100.53292</v>
      </c>
      <c r="G90" s="76" t="n">
        <v>0.36</v>
      </c>
      <c r="H90" s="76" t="inlineStr">
        <is>
          <t>สยามสแควร์ ซอย 3 ปทุมวัน</t>
        </is>
      </c>
      <c r="I90" s="76" t="inlineStr">
        <is>
          <t>ทุกวัน 10:00-23:00 (เสาร์)</t>
        </is>
      </c>
      <c r="J90" s="76" t="inlineStr">
        <is>
          <t>+66 94 898 9999</t>
        </is>
      </c>
      <c r="K90" s="77" t="inlineStr">
        <is>
          <t>https://www.google.com/maps/search/?api=1&amp;query_place_id=ChIJxwnzCJKf4jARR8hWRCoTGvI</t>
        </is>
      </c>
      <c r="L90" s="76" t="inlineStr">
        <is>
          <t>เปิดให้บริการ (มีเวลาทำการใน Google Maps)</t>
        </is>
      </c>
    </row>
    <row r="91">
      <c r="A91" s="78" t="n">
        <v>90</v>
      </c>
      <c r="B91" s="78" t="inlineStr">
        <is>
          <t>หอศิลปวัฒนธรรมแห่งกรุงเทพมหานคร (BACC)</t>
        </is>
      </c>
      <c r="C91" s="78" t="inlineStr">
        <is>
          <t>ร้านของหวาน</t>
        </is>
      </c>
      <c r="D91" s="78" t="inlineStr">
        <is>
          <t>Siam Pandan</t>
        </is>
      </c>
      <c r="E91" s="78" t="n">
        <v>13.74433</v>
      </c>
      <c r="F91" s="78" t="n">
        <v>100.53443</v>
      </c>
      <c r="G91" s="78" t="n">
        <v>0.53</v>
      </c>
      <c r="H91" s="78" t="inlineStr">
        <is>
          <t>สยามสแควร์ ซอย 6 ปทุมวัน</t>
        </is>
      </c>
      <c r="I91" s="78" t="inlineStr">
        <is>
          <t>ทุกวัน 10:30-20:00 (เสาร์)</t>
        </is>
      </c>
      <c r="J91" s="78" t="inlineStr">
        <is>
          <t>+66 86 563 1690</t>
        </is>
      </c>
      <c r="K91" s="79" t="inlineStr">
        <is>
          <t>https://www.google.com/maps/search/?api=1&amp;query_place_id=ChIJ0xX1UNKe4jAR-WZptZL_-uk</t>
        </is>
      </c>
      <c r="L91" s="78" t="inlineStr">
        <is>
          <t>เปิดให้บริการ (มีเวลาทำการใน Google Maps)</t>
        </is>
      </c>
    </row>
    <row r="92">
      <c r="A92" s="76" t="n">
        <v>91</v>
      </c>
      <c r="B92" s="76" t="inlineStr">
        <is>
          <t>Asiatique The Riverfront</t>
        </is>
      </c>
      <c r="C92" s="76" t="inlineStr">
        <is>
          <t>ร้านอาหาร</t>
        </is>
      </c>
      <c r="D92" s="76" t="inlineStr">
        <is>
          <t>Sirimahannop (ศิริมหานพ)</t>
        </is>
      </c>
      <c r="E92" s="76" t="n">
        <v>13.70523</v>
      </c>
      <c r="F92" s="76" t="n">
        <v>100.50219</v>
      </c>
      <c r="G92" s="76" t="n">
        <v>0.15</v>
      </c>
      <c r="H92" s="76" t="inlineStr">
        <is>
          <t>72 ถ.เจริญกรุง วัดพระยาไกร บางคอแหลม</t>
        </is>
      </c>
      <c r="I92" s="76" t="inlineStr">
        <is>
          <t>ทุกวัน 16:00-24:00 (เสาร์)</t>
        </is>
      </c>
      <c r="J92" s="76" t="inlineStr">
        <is>
          <t>+66 2 059 5999</t>
        </is>
      </c>
      <c r="K92" s="77" t="inlineStr">
        <is>
          <t>https://www.google.com/maps/search/?api=1&amp;query_place_id=ChIJNxVoORuf4jARgnrw6F9dzdc</t>
        </is>
      </c>
      <c r="L92" s="76" t="inlineStr">
        <is>
          <t>เปิดให้บริการ (มีเวลาทำการใน Google Maps)</t>
        </is>
      </c>
    </row>
    <row r="93">
      <c r="A93" s="78" t="n">
        <v>92</v>
      </c>
      <c r="B93" s="78" t="inlineStr">
        <is>
          <t>Asiatique The Riverfront</t>
        </is>
      </c>
      <c r="C93" s="78" t="inlineStr">
        <is>
          <t>ร้านอาหาร</t>
        </is>
      </c>
      <c r="D93" s="78" t="inlineStr">
        <is>
          <t>Sail To The Moon By Nakorn</t>
        </is>
      </c>
      <c r="E93" s="78" t="n">
        <v>13.70483</v>
      </c>
      <c r="F93" s="78" t="n">
        <v>100.50211</v>
      </c>
      <c r="G93" s="78" t="n">
        <v>0.13</v>
      </c>
      <c r="H93" s="78" t="inlineStr">
        <is>
          <t>Asiatique 2194 ถ.เจริญกรุง บางคอแหลม</t>
        </is>
      </c>
      <c r="I93" s="78" t="inlineStr">
        <is>
          <t>ทุกวัน 16:00-24:00 (เสาร์)</t>
        </is>
      </c>
      <c r="J93" s="78" t="inlineStr">
        <is>
          <t>+66 82 887 2251</t>
        </is>
      </c>
      <c r="K93" s="79" t="inlineStr">
        <is>
          <t>https://www.google.com/maps/search/?api=1&amp;query_place_id=ChIJHQAgyI2j4jARReexfH3uHeI</t>
        </is>
      </c>
      <c r="L93" s="78" t="inlineStr">
        <is>
          <t>เปิดให้บริการ (มีเวลาทำการใน Google Maps)</t>
        </is>
      </c>
    </row>
    <row r="94">
      <c r="A94" s="76" t="n">
        <v>93</v>
      </c>
      <c r="B94" s="76" t="inlineStr">
        <is>
          <t>Asiatique The Riverfront</t>
        </is>
      </c>
      <c r="C94" s="76" t="inlineStr">
        <is>
          <t>ร้านอาหาร</t>
        </is>
      </c>
      <c r="D94" s="76" t="inlineStr">
        <is>
          <t>Happy Fish (โกดัง 8)</t>
        </is>
      </c>
      <c r="E94" s="76" t="n">
        <v>13.70499</v>
      </c>
      <c r="F94" s="76" t="n">
        <v>100.50232</v>
      </c>
      <c r="G94" s="76" t="n">
        <v>0.12</v>
      </c>
      <c r="H94" s="76" t="inlineStr">
        <is>
          <t>Asiatique โกดัง 8 2194 ถ.เจริญกรุง บางคอแหลม</t>
        </is>
      </c>
      <c r="I94" s="76" t="inlineStr">
        <is>
          <t>ทุกวัน 12:00-24:00 (เสาร์)</t>
        </is>
      </c>
      <c r="J94" s="76" t="inlineStr">
        <is>
          <t>+66 90 959 5969</t>
        </is>
      </c>
      <c r="K94" s="77" t="inlineStr">
        <is>
          <t>https://www.google.com/maps/search/?api=1&amp;query_place_id=ChIJZS6MApeY4jARB4mNKlFwgaI</t>
        </is>
      </c>
      <c r="L94" s="76" t="inlineStr">
        <is>
          <t>เปิดให้บริการ (มีเวลาทำการใน Google Maps)</t>
        </is>
      </c>
    </row>
    <row r="95">
      <c r="A95" s="78" t="n">
        <v>94</v>
      </c>
      <c r="B95" s="78" t="inlineStr">
        <is>
          <t>Asiatique The Riverfront</t>
        </is>
      </c>
      <c r="C95" s="78" t="inlineStr">
        <is>
          <t>ร้านเครื่องดื่ม</t>
        </is>
      </c>
      <c r="D95" s="78" t="inlineStr">
        <is>
          <t>Asiatique Ancient Tea House</t>
        </is>
      </c>
      <c r="E95" s="78" t="n">
        <v>13.70536</v>
      </c>
      <c r="F95" s="78" t="n">
        <v>100.50284</v>
      </c>
      <c r="G95" s="78" t="n">
        <v>0.11</v>
      </c>
      <c r="H95" s="78" t="inlineStr">
        <is>
          <t>76 ซ.เจริญกรุง 72 วัดพระยาไกร บางคอแหลม</t>
        </is>
      </c>
      <c r="I95" s="78" t="inlineStr">
        <is>
          <t>ทุกวัน 12:00-24:00 (เสาร์)</t>
        </is>
      </c>
      <c r="J95" s="78" t="inlineStr">
        <is>
          <t>+66 2 059 5999</t>
        </is>
      </c>
      <c r="K95" s="79" t="inlineStr">
        <is>
          <t>https://www.google.com/maps/search/?api=1&amp;query_place_id=ChIJI1DGO3iZ4jARyhWXLVWyHog</t>
        </is>
      </c>
      <c r="L95" s="78" t="inlineStr">
        <is>
          <t>เปิดให้บริการ (มีเวลาทำการใน Google Maps)</t>
        </is>
      </c>
    </row>
    <row r="96">
      <c r="A96" s="76" t="n">
        <v>95</v>
      </c>
      <c r="B96" s="76" t="inlineStr">
        <is>
          <t>Asiatique The Riverfront</t>
        </is>
      </c>
      <c r="C96" s="76" t="inlineStr">
        <is>
          <t>ร้านเครื่องดื่ม</t>
        </is>
      </c>
      <c r="D96" s="76" t="inlineStr">
        <is>
          <t>La Fiore Cafe Asiatique</t>
        </is>
      </c>
      <c r="E96" s="76" t="n">
        <v>13.70377</v>
      </c>
      <c r="F96" s="76" t="n">
        <v>100.50324</v>
      </c>
      <c r="G96" s="76" t="n">
        <v>0.07000000000000001</v>
      </c>
      <c r="H96" s="76" t="inlineStr">
        <is>
          <t>Asiatique ชั้น 1 2194 ถ.เจริญกรุง บางคอแหลม</t>
        </is>
      </c>
      <c r="I96" s="76" t="inlineStr">
        <is>
          <t>ทุกวัน 14:00-24:00 (เสาร์)</t>
        </is>
      </c>
      <c r="J96" s="76" t="inlineStr">
        <is>
          <t>+66 94 346 5051</t>
        </is>
      </c>
      <c r="K96" s="77" t="inlineStr">
        <is>
          <t>https://www.google.com/maps/search/?api=1&amp;query_place_id=ChIJP0Ls1z-Z4jARIa6TS6sI4Dk</t>
        </is>
      </c>
      <c r="L96" s="76" t="inlineStr">
        <is>
          <t>เปิดให้บริการ (มีเวลาทำการใน Google Maps)</t>
        </is>
      </c>
    </row>
    <row r="97">
      <c r="A97" s="78" t="n">
        <v>96</v>
      </c>
      <c r="B97" s="78" t="inlineStr">
        <is>
          <t>Asiatique The Riverfront</t>
        </is>
      </c>
      <c r="C97" s="78" t="inlineStr">
        <is>
          <t>ร้านเครื่องดื่ม</t>
        </is>
      </c>
      <c r="D97" s="78" t="inlineStr">
        <is>
          <t>Starbucks @ Asiatique The Riverfront</t>
        </is>
      </c>
      <c r="E97" s="78" t="n">
        <v>13.7037</v>
      </c>
      <c r="F97" s="78" t="n">
        <v>100.50398</v>
      </c>
      <c r="G97" s="78" t="n">
        <v>0.11</v>
      </c>
      <c r="H97" s="78" t="inlineStr">
        <is>
          <t>Asiatique 2194 ถ.เจริญกรุง บางคอแหลม</t>
        </is>
      </c>
      <c r="I97" s="78" t="inlineStr">
        <is>
          <t>ทุกวัน 08:00-22:00 (เสาร์)</t>
        </is>
      </c>
      <c r="J97" s="78" t="inlineStr">
        <is>
          <t>-</t>
        </is>
      </c>
      <c r="K97" s="79" t="inlineStr">
        <is>
          <t>https://www.google.com/maps/search/?api=1&amp;query_place_id=ChIJc8lMcQCZ4jARBg4bOgSFdtA</t>
        </is>
      </c>
      <c r="L97" s="78" t="inlineStr">
        <is>
          <t>เปิดให้บริการ (มีเวลาทำการใน Google Maps)</t>
        </is>
      </c>
    </row>
    <row r="98">
      <c r="A98" s="76" t="n">
        <v>97</v>
      </c>
      <c r="B98" s="76" t="inlineStr">
        <is>
          <t>Asiatique The Riverfront</t>
        </is>
      </c>
      <c r="C98" s="76" t="inlineStr">
        <is>
          <t>ร้านของหวาน</t>
        </is>
      </c>
      <c r="D98" s="76" t="inlineStr">
        <is>
          <t>After You Dessert Cafe - Asiatique</t>
        </is>
      </c>
      <c r="E98" s="76" t="n">
        <v>13.70478</v>
      </c>
      <c r="F98" s="76" t="n">
        <v>100.50329</v>
      </c>
      <c r="G98" s="76" t="n">
        <v>0.04</v>
      </c>
      <c r="H98" s="76" t="inlineStr">
        <is>
          <t>Asiatique 2194 ถ.เจริญกรุง บางคอแหลม</t>
        </is>
      </c>
      <c r="I98" s="76" t="inlineStr">
        <is>
          <t>ทุกวัน 15:00-23:00 (เสาร์)</t>
        </is>
      </c>
      <c r="J98" s="76" t="inlineStr">
        <is>
          <t>+66 63 840 9792</t>
        </is>
      </c>
      <c r="K98" s="77" t="inlineStr">
        <is>
          <t>https://www.google.com/maps/search/?api=1&amp;query_place_id=ChIJl_bB-6-Z4jARKQxbLdvEpTQ</t>
        </is>
      </c>
      <c r="L98" s="76" t="inlineStr">
        <is>
          <t>เปิดให้บริการ (มีเวลาทำการใน Google Maps)</t>
        </is>
      </c>
    </row>
    <row r="99">
      <c r="A99" s="78" t="n">
        <v>98</v>
      </c>
      <c r="B99" s="78" t="inlineStr">
        <is>
          <t>Asiatique The Riverfront</t>
        </is>
      </c>
      <c r="C99" s="78" t="inlineStr">
        <is>
          <t>ร้านของหวาน</t>
        </is>
      </c>
      <c r="D99" s="78" t="inlineStr">
        <is>
          <t>Swensen's Asiatique River Front</t>
        </is>
      </c>
      <c r="E99" s="78" t="n">
        <v>13.70421</v>
      </c>
      <c r="F99" s="78" t="n">
        <v>100.50411</v>
      </c>
      <c r="G99" s="78" t="n">
        <v>0.09</v>
      </c>
      <c r="H99" s="78" t="inlineStr">
        <is>
          <t>Asiatique 2194 ถ.เจริญกรุง บางคอแหลม</t>
        </is>
      </c>
      <c r="I99" s="78" t="inlineStr">
        <is>
          <t>ทุกวัน 12:00-23:00 (เสาร์)</t>
        </is>
      </c>
      <c r="J99" s="78" t="inlineStr">
        <is>
          <t>+66 63 203 3170</t>
        </is>
      </c>
      <c r="K99" s="79" t="inlineStr">
        <is>
          <t>https://www.google.com/maps/search/?api=1&amp;query_place_id=ChIJk-H5AJeY4jARfbqXye_X0u8</t>
        </is>
      </c>
      <c r="L99" s="78" t="inlineStr">
        <is>
          <t>เปิดให้บริการ (มีเวลาทำการใน Google Maps)</t>
        </is>
      </c>
    </row>
    <row r="100">
      <c r="A100" s="76" t="n">
        <v>99</v>
      </c>
      <c r="B100" s="76" t="inlineStr">
        <is>
          <t>Asiatique The Riverfront</t>
        </is>
      </c>
      <c r="C100" s="76" t="inlineStr">
        <is>
          <t>ร้านของหวาน</t>
        </is>
      </c>
      <c r="D100" s="76" t="inlineStr">
        <is>
          <t>Make Me Mango Asiatique</t>
        </is>
      </c>
      <c r="E100" s="76" t="n">
        <v>13.70463</v>
      </c>
      <c r="F100" s="76" t="n">
        <v>100.50355</v>
      </c>
      <c r="G100" s="76" t="n">
        <v>0.04</v>
      </c>
      <c r="H100" s="76" t="inlineStr">
        <is>
          <t>Asiatique 2194 ถ.เจริญกรุง บางคอแหลม</t>
        </is>
      </c>
      <c r="I100" s="76" t="inlineStr">
        <is>
          <t>ทุกวัน 15:00-23:00 (เสาร์)</t>
        </is>
      </c>
      <c r="J100" s="76" t="inlineStr">
        <is>
          <t>+66 94 869 2965</t>
        </is>
      </c>
      <c r="K100" s="77" t="inlineStr">
        <is>
          <t>https://www.google.com/maps/search/?api=1&amp;query_place_id=ChIJJToG_Lae4jARyGfWLIaA7Xs</t>
        </is>
      </c>
      <c r="L100" s="76" t="inlineStr">
        <is>
          <t>เปิดให้บริการ (มีเวลาทำการใน Google Maps)</t>
        </is>
      </c>
    </row>
    <row r="101">
      <c r="A101" s="78" t="n">
        <v>100</v>
      </c>
      <c r="B101" s="78" t="inlineStr">
        <is>
          <t>ท้องฟ้าจำลองกรุงเทพ (เอกมัย)</t>
        </is>
      </c>
      <c r="C101" s="78" t="inlineStr">
        <is>
          <t>ร้านอาหาร</t>
        </is>
      </c>
      <c r="D101" s="78" t="inlineStr">
        <is>
          <t>The Gardens of Dinsor Palace</t>
        </is>
      </c>
      <c r="E101" s="78" t="n">
        <v>13.72262</v>
      </c>
      <c r="F101" s="78" t="n">
        <v>100.58228</v>
      </c>
      <c r="G101" s="78" t="n">
        <v>0.35</v>
      </c>
      <c r="H101" s="78" t="inlineStr">
        <is>
          <t>1217/2 ซ.ชุมพล คลองตันเหนือ วัฒนา</t>
        </is>
      </c>
      <c r="I101" s="78" t="inlineStr">
        <is>
          <t>ทุกวัน 09:00-22:00 (เสาร์)</t>
        </is>
      </c>
      <c r="J101" s="78" t="inlineStr">
        <is>
          <t>+66 93 124 7730</t>
        </is>
      </c>
      <c r="K101" s="79" t="inlineStr">
        <is>
          <t>https://www.google.com/maps/search/?api=1&amp;query_place_id=ChIJ947tbq-f4jARmqxnBY9oxv4</t>
        </is>
      </c>
      <c r="L101" s="78" t="inlineStr">
        <is>
          <t>เปิดให้บริการ (มีเวลาทำการใน Google Maps)</t>
        </is>
      </c>
    </row>
    <row r="102">
      <c r="A102" s="76" t="n">
        <v>101</v>
      </c>
      <c r="B102" s="76" t="inlineStr">
        <is>
          <t>ท้องฟ้าจำลองกรุงเทพ (เอกมัย)</t>
        </is>
      </c>
      <c r="C102" s="76" t="inlineStr">
        <is>
          <t>ร้านอาหาร</t>
        </is>
      </c>
      <c r="D102" s="76" t="inlineStr">
        <is>
          <t>Pastalicious, Fresh Pasta &amp; Steaks</t>
        </is>
      </c>
      <c r="E102" s="76" t="n">
        <v>13.71519</v>
      </c>
      <c r="F102" s="76" t="n">
        <v>100.58448</v>
      </c>
      <c r="G102" s="76" t="n">
        <v>0.52</v>
      </c>
      <c r="H102" s="76" t="inlineStr">
        <is>
          <t>67/2 สุขุมวิท 42 พระโขนง คลองเตย</t>
        </is>
      </c>
      <c r="I102" s="76" t="inlineStr">
        <is>
          <t>ทุกวัน 11:00-14:00, 17:00-21:00 (ปิดอังคาร)</t>
        </is>
      </c>
      <c r="J102" s="76" t="inlineStr">
        <is>
          <t>+66 98 887 0776</t>
        </is>
      </c>
      <c r="K102" s="77" t="inlineStr">
        <is>
          <t>https://www.google.com/maps/search/?api=1&amp;query_place_id=ChIJn5GjYaCf4jARPXfCMkM2LP0</t>
        </is>
      </c>
      <c r="L102" s="76" t="inlineStr">
        <is>
          <t>เปิดให้บริการ (มีเวลาทำการใน Google Maps)</t>
        </is>
      </c>
    </row>
    <row r="103">
      <c r="A103" s="78" t="n">
        <v>102</v>
      </c>
      <c r="B103" s="78" t="inlineStr">
        <is>
          <t>ท้องฟ้าจำลองกรุงเทพ (เอกมัย)</t>
        </is>
      </c>
      <c r="C103" s="78" t="inlineStr">
        <is>
          <t>ร้านอาหาร</t>
        </is>
      </c>
      <c r="D103" s="78" t="inlineStr">
        <is>
          <t>SOUSAKU Sukhumvit 42</t>
        </is>
      </c>
      <c r="E103" s="78" t="n">
        <v>13.71621</v>
      </c>
      <c r="F103" s="78" t="n">
        <v>100.58645</v>
      </c>
      <c r="G103" s="78" t="n">
        <v>0.54</v>
      </c>
      <c r="H103" s="78" t="inlineStr">
        <is>
          <t>สุขุมวิท 42 พระโขนง คลองเตย</t>
        </is>
      </c>
      <c r="I103" s="78" t="inlineStr">
        <is>
          <t>ทุกวัน 11:00-22:00 (เสาร์)</t>
        </is>
      </c>
      <c r="J103" s="78" t="inlineStr">
        <is>
          <t>+66 82 424 2822</t>
        </is>
      </c>
      <c r="K103" s="79" t="inlineStr">
        <is>
          <t>https://www.google.com/maps/search/?api=1&amp;query_place_id=ChIJT7QoxNuf4jAR9_JfRRGfphE</t>
        </is>
      </c>
      <c r="L103" s="78" t="inlineStr">
        <is>
          <t>เปิดให้บริการ (มีเวลาทำการใน Google Maps)</t>
        </is>
      </c>
    </row>
    <row r="104">
      <c r="A104" s="76" t="n">
        <v>103</v>
      </c>
      <c r="B104" s="76" t="inlineStr">
        <is>
          <t>ท้องฟ้าจำลองกรุงเทพ (เอกมัย)</t>
        </is>
      </c>
      <c r="C104" s="76" t="inlineStr">
        <is>
          <t>ร้านเครื่องดื่ม</t>
        </is>
      </c>
      <c r="D104" s="76" t="inlineStr">
        <is>
          <t>COS Cup of Sensory Cafe</t>
        </is>
      </c>
      <c r="E104" s="76" t="n">
        <v>13.72147</v>
      </c>
      <c r="F104" s="76" t="n">
        <v>100.58271</v>
      </c>
      <c r="G104" s="76" t="n">
        <v>0.21</v>
      </c>
      <c r="H104" s="76" t="inlineStr">
        <is>
          <t>1221/2 คลองตันเหนือ วัฒนา</t>
        </is>
      </c>
      <c r="I104" s="76" t="inlineStr">
        <is>
          <t>อ-อา 08:00-17:00 (ปิดจันทร์)</t>
        </is>
      </c>
      <c r="J104" s="76" t="inlineStr">
        <is>
          <t>+66 64 250 6458</t>
        </is>
      </c>
      <c r="K104" s="77" t="inlineStr">
        <is>
          <t>https://www.google.com/maps/search/?api=1&amp;query_place_id=ChIJ10vI9R2f4jARhWtV_3zSYSk</t>
        </is>
      </c>
      <c r="L104" s="76" t="inlineStr">
        <is>
          <t>เปิดให้บริการ (มีเวลาทำการใน Google Maps)</t>
        </is>
      </c>
    </row>
    <row r="105">
      <c r="A105" s="78" t="n">
        <v>104</v>
      </c>
      <c r="B105" s="78" t="inlineStr">
        <is>
          <t>ท้องฟ้าจำลองกรุงเทพ (เอกมัย)</t>
        </is>
      </c>
      <c r="C105" s="78" t="inlineStr">
        <is>
          <t>ร้านเครื่องดื่ม</t>
        </is>
      </c>
      <c r="D105" s="78" t="inlineStr">
        <is>
          <t>A KEEN HOUSE</t>
        </is>
      </c>
      <c r="E105" s="78" t="n">
        <v>13.71698</v>
      </c>
      <c r="F105" s="78" t="n">
        <v>100.58114</v>
      </c>
      <c r="G105" s="78" t="n">
        <v>0.34</v>
      </c>
      <c r="H105" s="78" t="inlineStr">
        <is>
          <t>4 ซ.สุขใจ สุขุมวิท 40 พระโขนง คลองเตย</t>
        </is>
      </c>
      <c r="I105" s="78" t="inlineStr">
        <is>
          <t>ทุกวัน 09:00-17:30 (เสาร์)</t>
        </is>
      </c>
      <c r="J105" s="78" t="inlineStr">
        <is>
          <t>+66 99 436 6535</t>
        </is>
      </c>
      <c r="K105" s="79" t="inlineStr">
        <is>
          <t>https://www.google.com/maps/search/?api=1&amp;query_place_id=ChIJS1-3ni6f4jARAS9TqmgpsLM</t>
        </is>
      </c>
      <c r="L105" s="78" t="inlineStr">
        <is>
          <t>เปิดให้บริการ (มีเวลาทำการใน Google Maps)</t>
        </is>
      </c>
    </row>
    <row r="106">
      <c r="A106" s="76" t="n">
        <v>105</v>
      </c>
      <c r="B106" s="76" t="inlineStr">
        <is>
          <t>ท้องฟ้าจำลองกรุงเทพ (เอกมัย)</t>
        </is>
      </c>
      <c r="C106" s="76" t="inlineStr">
        <is>
          <t>ร้านเครื่องดื่ม</t>
        </is>
      </c>
      <c r="D106" s="76" t="inlineStr">
        <is>
          <t>Folk Lane by Toby's Sukhumvit 38</t>
        </is>
      </c>
      <c r="E106" s="76" t="n">
        <v>13.7182</v>
      </c>
      <c r="F106" s="76" t="n">
        <v>100.57974</v>
      </c>
      <c r="G106" s="76" t="n">
        <v>0.36</v>
      </c>
      <c r="H106" s="76" t="inlineStr">
        <is>
          <t>75 ซ.สันติสุข สุขุมวิท 38 พระโขนง คลองเตย</t>
        </is>
      </c>
      <c r="I106" s="76" t="inlineStr">
        <is>
          <t>ทุกวัน 08:00-17:00 (เสาร์)</t>
        </is>
      </c>
      <c r="J106" s="76" t="inlineStr">
        <is>
          <t>+66 2 712 1774</t>
        </is>
      </c>
      <c r="K106" s="77" t="inlineStr">
        <is>
          <t>https://www.google.com/maps/search/?api=1&amp;query_place_id=ChIJ8WhXGqaf4jARcV1ZdA6vAGM</t>
        </is>
      </c>
      <c r="L106" s="76" t="inlineStr">
        <is>
          <t>เปิดให้บริการ (มีเวลาทำการใน Google Maps)</t>
        </is>
      </c>
    </row>
    <row r="107">
      <c r="A107" s="78" t="n">
        <v>106</v>
      </c>
      <c r="B107" s="78" t="inlineStr">
        <is>
          <t>ท้องฟ้าจำลองกรุงเทพ (เอกมัย)</t>
        </is>
      </c>
      <c r="C107" s="78" t="inlineStr">
        <is>
          <t>ร้านของหวาน</t>
        </is>
      </c>
      <c r="D107" s="78" t="inlineStr">
        <is>
          <t>น้องแอ้ม ขนมหวาน ซอย 38</t>
        </is>
      </c>
      <c r="E107" s="78" t="n">
        <v>13.72362</v>
      </c>
      <c r="F107" s="78" t="n">
        <v>100.57884</v>
      </c>
      <c r="G107" s="78" t="n">
        <v>0.62</v>
      </c>
      <c r="H107" s="78" t="inlineStr">
        <is>
          <t>ปากซ.สันติสุข สุขุมวิท 38 พระโขนง คลองเตย</t>
        </is>
      </c>
      <c r="I107" s="78" t="inlineStr">
        <is>
          <t>จ-ส 12:00-20:00 (ปิดอาทิตย์)</t>
        </is>
      </c>
      <c r="J107" s="78" t="inlineStr">
        <is>
          <t>+66 81 588 6598</t>
        </is>
      </c>
      <c r="K107" s="79" t="inlineStr">
        <is>
          <t>https://www.google.com/maps/search/?api=1&amp;query_place_id=ChIJDSFb56if4jARW_JZU5zoLR4</t>
        </is>
      </c>
      <c r="L107" s="78" t="inlineStr">
        <is>
          <t>เปิดให้บริการ (มีเวลาทำการใน Google Maps)</t>
        </is>
      </c>
    </row>
    <row r="108">
      <c r="A108" s="76" t="n">
        <v>107</v>
      </c>
      <c r="B108" s="76" t="inlineStr">
        <is>
          <t>ท้องฟ้าจำลองกรุงเทพ (เอกมัย)</t>
        </is>
      </c>
      <c r="C108" s="76" t="inlineStr">
        <is>
          <t>ร้านของหวาน</t>
        </is>
      </c>
      <c r="D108" s="76" t="inlineStr">
        <is>
          <t>Nicolo Bakery Sukhumvit 42</t>
        </is>
      </c>
      <c r="E108" s="76" t="n">
        <v>13.71532</v>
      </c>
      <c r="F108" s="76" t="n">
        <v>100.58772</v>
      </c>
      <c r="G108" s="76" t="n">
        <v>0.71</v>
      </c>
      <c r="H108" s="76" t="inlineStr">
        <is>
          <t>55/9 ซ.สมานจันทน์ สุขุมวิท 42 พระโขนง</t>
        </is>
      </c>
      <c r="I108" s="76" t="inlineStr">
        <is>
          <t>อ-อา 07:00-17:00 (ปิดจันทร์)</t>
        </is>
      </c>
      <c r="J108" s="76" t="inlineStr">
        <is>
          <t>-</t>
        </is>
      </c>
      <c r="K108" s="77" t="inlineStr">
        <is>
          <t>https://www.google.com/maps/search/?api=1&amp;query_place_id=ChIJFSm9rMCf4jAR5FJeZ0gFIXQ</t>
        </is>
      </c>
      <c r="L108" s="76" t="inlineStr">
        <is>
          <t>เปิดให้บริการ (มีเวลาทำการใน Google Maps)</t>
        </is>
      </c>
    </row>
    <row r="109">
      <c r="A109" s="78" t="n">
        <v>108</v>
      </c>
      <c r="B109" s="78" t="inlineStr">
        <is>
          <t>ท้องฟ้าจำลองกรุงเทพ (เอกมัย)</t>
        </is>
      </c>
      <c r="C109" s="78" t="inlineStr">
        <is>
          <t>ร้านของหวาน</t>
        </is>
      </c>
      <c r="D109" s="78" t="inlineStr">
        <is>
          <t>MiKA Bakehouse &amp; Coffee - Ekkamai</t>
        </is>
      </c>
      <c r="E109" s="78" t="n">
        <v>13.72327</v>
      </c>
      <c r="F109" s="78" t="n">
        <v>100.58422</v>
      </c>
      <c r="G109" s="78" t="n">
        <v>0.44</v>
      </c>
      <c r="H109" s="78" t="inlineStr">
        <is>
          <t>A101 18 สุขุมวิท 61 คลองตันเหนือ วัฒนา</t>
        </is>
      </c>
      <c r="I109" s="78" t="inlineStr">
        <is>
          <t>ทุกวัน 09:00-18:00 (เสาร์)</t>
        </is>
      </c>
      <c r="J109" s="78" t="inlineStr">
        <is>
          <t>+66 94 474 6251</t>
        </is>
      </c>
      <c r="K109" s="79" t="inlineStr">
        <is>
          <t>https://www.google.com/maps/search/?api=1&amp;query_place_id=ChIJG_462byf4jARUl71r_65amw</t>
        </is>
      </c>
      <c r="L109" s="78" t="inlineStr">
        <is>
          <t>เปิดให้บริการ (มีเวลาทำการใน Google Maps)</t>
        </is>
      </c>
    </row>
    <row r="110">
      <c r="A110" s="76" t="n">
        <v>109</v>
      </c>
      <c r="B110" s="76" t="inlineStr">
        <is>
          <t>สวนวชิรเบญจทัศ (สวนรถไฟ)</t>
        </is>
      </c>
      <c r="C110" s="76" t="inlineStr">
        <is>
          <t>ร้านอาหาร</t>
        </is>
      </c>
      <c r="D110" s="76" t="inlineStr">
        <is>
          <t>Krua Nai Suan (ครัวในสวน) สวนรถไฟ</t>
        </is>
      </c>
      <c r="E110" s="76" t="n">
        <v>13.8166</v>
      </c>
      <c r="F110" s="76" t="n">
        <v>100.55366</v>
      </c>
      <c r="G110" s="76" t="n">
        <v>0.32</v>
      </c>
      <c r="H110" s="76" t="inlineStr">
        <is>
          <t>ในสวนวชิรเบญจทัศ ถ.กำแพงเพชร 3 จตุจักร</t>
        </is>
      </c>
      <c r="I110" s="76" t="inlineStr">
        <is>
          <t>ทุกวัน 11:00-23:00 (เสาร์)</t>
        </is>
      </c>
      <c r="J110" s="76" t="inlineStr">
        <is>
          <t>+66 83 849 7738</t>
        </is>
      </c>
      <c r="K110" s="77" t="inlineStr">
        <is>
          <t>https://www.google.com/maps/search/?api=1&amp;query_place_id=ChIJV1rnpl2c4jARyPXKBBAlWlA</t>
        </is>
      </c>
      <c r="L110" s="76" t="inlineStr">
        <is>
          <t>เปิดให้บริการ (มีเวลาทำการใน Google Maps)</t>
        </is>
      </c>
    </row>
    <row r="111">
      <c r="A111" s="78" t="n">
        <v>110</v>
      </c>
      <c r="B111" s="78" t="inlineStr">
        <is>
          <t>สวนวชิรเบญจทัศ (สวนรถไฟ)</t>
        </is>
      </c>
      <c r="C111" s="78" t="inlineStr">
        <is>
          <t>ร้านอาหาร</t>
        </is>
      </c>
      <c r="D111" s="78" t="inlineStr">
        <is>
          <t>Thitaree</t>
        </is>
      </c>
      <c r="E111" s="78" t="n">
        <v>13.81586</v>
      </c>
      <c r="F111" s="78" t="n">
        <v>100.55312</v>
      </c>
      <c r="G111" s="78" t="n">
        <v>0.25</v>
      </c>
      <c r="H111" s="78" t="inlineStr">
        <is>
          <t>ซ.สวนรถไฟ จตุจักร</t>
        </is>
      </c>
      <c r="I111" s="78" t="inlineStr">
        <is>
          <t>ทุกวัน 08:00-21:00 (เสาร์)</t>
        </is>
      </c>
      <c r="J111" s="78" t="inlineStr">
        <is>
          <t>+66 86 334 1729</t>
        </is>
      </c>
      <c r="K111" s="79" t="inlineStr">
        <is>
          <t>https://www.google.com/maps/search/?api=1&amp;query_place_id=ChIJi6lebF2c4jARktKBDI99zQA</t>
        </is>
      </c>
      <c r="L111" s="78" t="inlineStr">
        <is>
          <t>เปิดให้บริการ (มีเวลาทำการใน Google Maps)</t>
        </is>
      </c>
    </row>
    <row r="112">
      <c r="A112" s="76" t="n">
        <v>111</v>
      </c>
      <c r="B112" s="76" t="inlineStr">
        <is>
          <t>สวนวชิรเบญจทัศ (สวนรถไฟ)</t>
        </is>
      </c>
      <c r="C112" s="76" t="inlineStr">
        <is>
          <t>ร้านอาหาร</t>
        </is>
      </c>
      <c r="D112" s="76" t="inlineStr">
        <is>
          <t>TALES ME MORE</t>
        </is>
      </c>
      <c r="E112" s="76" t="n">
        <v>13.81708</v>
      </c>
      <c r="F112" s="76" t="n">
        <v>100.55493</v>
      </c>
      <c r="G112" s="76" t="n">
        <v>0.4</v>
      </c>
      <c r="H112" s="76" t="inlineStr">
        <is>
          <t>บริเวณสวนรถไฟ จตุจักร</t>
        </is>
      </c>
      <c r="I112" s="76" t="inlineStr">
        <is>
          <t>ทุกวัน 11:00-23:00 (เสาร์)</t>
        </is>
      </c>
      <c r="J112" s="76" t="inlineStr">
        <is>
          <t>+66 81 860 6589</t>
        </is>
      </c>
      <c r="K112" s="77" t="inlineStr">
        <is>
          <t>https://www.google.com/maps/search/?api=1&amp;query_place_id=ChIJP43UUlyc4jAR7vOhOeBngB8</t>
        </is>
      </c>
      <c r="L112" s="76" t="inlineStr">
        <is>
          <t>เปิดให้บริการ (มีเวลาทำการใน Google Maps)</t>
        </is>
      </c>
    </row>
    <row r="113">
      <c r="A113" s="78" t="n">
        <v>112</v>
      </c>
      <c r="B113" s="78" t="inlineStr">
        <is>
          <t>สวนวชิรเบญจทัศ (สวนรถไฟ)</t>
        </is>
      </c>
      <c r="C113" s="78" t="inlineStr">
        <is>
          <t>ร้านเครื่องดื่ม</t>
        </is>
      </c>
      <c r="D113" s="78" t="inlineStr">
        <is>
          <t>HEY! Beanstro (Oasis)</t>
        </is>
      </c>
      <c r="E113" s="78" t="n">
        <v>13.8077206</v>
      </c>
      <c r="F113" s="78" t="n">
        <v>100.55866</v>
      </c>
      <c r="G113" s="78" t="n">
        <v>0.86</v>
      </c>
      <c r="H113" s="78" t="inlineStr">
        <is>
          <t>199 อาคารโอเอซิส ถ.วิภาวดีรังสิต จอมพล จตุจักร</t>
        </is>
      </c>
      <c r="I113" s="78" t="inlineStr">
        <is>
          <t>ทุกวัน 07:00-23:00</t>
        </is>
      </c>
      <c r="J113" s="78" t="inlineStr">
        <is>
          <t>+66 82 297 9288</t>
        </is>
      </c>
      <c r="K113" s="79" t="inlineStr">
        <is>
          <t>https://www.google.com/maps/search/?api=1&amp;query_place_id=ChIJS05aNayd4jARo_eN8wMGhjM</t>
        </is>
      </c>
      <c r="L113" s="78" t="inlineStr">
        <is>
          <t>เปิดให้บริการ (มีเวลาทำการใน Google Maps)</t>
        </is>
      </c>
    </row>
    <row r="114">
      <c r="A114" s="76" t="n">
        <v>113</v>
      </c>
      <c r="B114" s="76" t="inlineStr">
        <is>
          <t>สวนวชิรเบญจทัศ (สวนรถไฟ)</t>
        </is>
      </c>
      <c r="C114" s="76" t="inlineStr">
        <is>
          <t>ร้านเครื่องดื่ม</t>
        </is>
      </c>
      <c r="D114" s="76" t="inlineStr">
        <is>
          <t>Narisa Cafe &amp; Creative Space</t>
        </is>
      </c>
      <c r="E114" s="76" t="n">
        <v>13.8189567</v>
      </c>
      <c r="F114" s="76" t="n">
        <v>100.5622949</v>
      </c>
      <c r="G114" s="76" t="n">
        <v>1.11</v>
      </c>
      <c r="H114" s="76" t="inlineStr">
        <is>
          <t>5 ซ.พิมนต์ จตุจักร</t>
        </is>
      </c>
      <c r="I114" s="76" t="inlineStr">
        <is>
          <t>จ,อ,พฤ-ศ 10:00-18:00, 18:30-20:30 (ปิดพุธ) / ส-อา 09:00-17:00, 17:30-21:00</t>
        </is>
      </c>
      <c r="J114" s="76" t="inlineStr">
        <is>
          <t>+66 95 339 6365</t>
        </is>
      </c>
      <c r="K114" s="77" t="inlineStr">
        <is>
          <t>https://www.google.com/maps/search/?api=1&amp;query_place_id=ChIJu9WLOA2d4jARbdmUI1KdnFk</t>
        </is>
      </c>
      <c r="L114" s="76" t="inlineStr">
        <is>
          <t>เปิดให้บริการ (มีเวลาทำการใน Google Maps)</t>
        </is>
      </c>
    </row>
    <row r="115">
      <c r="A115" s="78" t="n">
        <v>114</v>
      </c>
      <c r="B115" s="78" t="inlineStr">
        <is>
          <t>สวนวชิรเบญจทัศ (สวนรถไฟ)</t>
        </is>
      </c>
      <c r="C115" s="78" t="inlineStr">
        <is>
          <t>ร้านเครื่องดื่ม</t>
        </is>
      </c>
      <c r="D115" s="78" t="inlineStr">
        <is>
          <t>Daisycafebkk 2nd floor cafe &amp; bake house</t>
        </is>
      </c>
      <c r="E115" s="78" t="n">
        <v>13.8017788</v>
      </c>
      <c r="F115" s="78" t="n">
        <v>100.5560853</v>
      </c>
      <c r="G115" s="78" t="n">
        <v>1.35</v>
      </c>
      <c r="H115" s="78" t="inlineStr">
        <is>
          <t>1032/67 ซ.พหลโยธิน 18/1 จอมพล จตุจักร</t>
        </is>
      </c>
      <c r="I115" s="78" t="inlineStr">
        <is>
          <t>จ-ศ 09:30-18:00 / ส-อา 10:00-18:00</t>
        </is>
      </c>
      <c r="J115" s="78" t="inlineStr">
        <is>
          <t>+66 94 339 9159</t>
        </is>
      </c>
      <c r="K115" s="79" t="inlineStr">
        <is>
          <t>https://www.google.com/maps/search/?api=1&amp;query_place_id=ChIJv-hmh3Sd4jARWpoYBlCmw3c</t>
        </is>
      </c>
      <c r="L115" s="78" t="inlineStr">
        <is>
          <t>เปิดให้บริการ (มีเวลาทำการใน Google Maps)</t>
        </is>
      </c>
    </row>
    <row r="116">
      <c r="A116" s="76" t="n">
        <v>115</v>
      </c>
      <c r="B116" s="76" t="inlineStr">
        <is>
          <t>สวนวชิรเบญจทัศ (สวนรถไฟ)</t>
        </is>
      </c>
      <c r="C116" s="76" t="inlineStr">
        <is>
          <t>ร้านของหวาน</t>
        </is>
      </c>
      <c r="D116" s="76" t="inlineStr">
        <is>
          <t>Krua Thip Kanom Thai (ครัวทิพย์ขนมไทย)</t>
        </is>
      </c>
      <c r="E116" s="76" t="n">
        <v>13.8122153</v>
      </c>
      <c r="F116" s="76" t="n">
        <v>100.5629361</v>
      </c>
      <c r="G116" s="76" t="n">
        <v>1.02</v>
      </c>
      <c r="H116" s="76" t="inlineStr">
        <is>
          <t>189/44 ซ.ลาดพร้าว 1 จอมพล จตุจักร</t>
        </is>
      </c>
      <c r="I116" s="76" t="inlineStr">
        <is>
          <t>จ-ส 07:00-17:00 / อา 07:00-16:00</t>
        </is>
      </c>
      <c r="J116" s="76" t="inlineStr">
        <is>
          <t>+66 2 513 3698</t>
        </is>
      </c>
      <c r="K116" s="77" t="inlineStr">
        <is>
          <t>https://www.google.com/maps/search/?api=1&amp;query_place_id=ChIJyz_XXkWc4jARLVTuJr2atoM</t>
        </is>
      </c>
      <c r="L116" s="76" t="inlineStr">
        <is>
          <t>เปิดให้บริการ (มีเวลาทำการใน Google Maps)</t>
        </is>
      </c>
    </row>
    <row r="117">
      <c r="A117" s="78" t="n">
        <v>116</v>
      </c>
      <c r="B117" s="78" t="inlineStr">
        <is>
          <t>สวนวชิรเบญจทัศ (สวนรถไฟ)</t>
        </is>
      </c>
      <c r="C117" s="78" t="inlineStr">
        <is>
          <t>ร้านของหวาน</t>
        </is>
      </c>
      <c r="D117" s="78" t="inlineStr">
        <is>
          <t>Bowcake โบว์เค้ก เซ็นทรัลลาดพร้าว</t>
        </is>
      </c>
      <c r="E117" s="78" t="n">
        <v>13.8161142</v>
      </c>
      <c r="F117" s="78" t="n">
        <v>100.560128</v>
      </c>
      <c r="G117" s="78" t="n">
        <v>0.75</v>
      </c>
      <c r="H117" s="78" t="inlineStr">
        <is>
          <t>ชั้น G Tops Market เซ็นทรัลลาดพร้าว 1693 ถ.พหลโยธิน</t>
        </is>
      </c>
      <c r="I117" s="78" t="inlineStr">
        <is>
          <t>ทุกวัน 09:00-22:00</t>
        </is>
      </c>
      <c r="J117" s="78" t="inlineStr">
        <is>
          <t>+66 87 059 0094</t>
        </is>
      </c>
      <c r="K117" s="79" t="inlineStr">
        <is>
          <t>https://www.google.com/maps/search/?api=1&amp;query_place_id=ChIJPQz_AX2d4jART00Xk3W7vHM</t>
        </is>
      </c>
      <c r="L117" s="78" t="inlineStr">
        <is>
          <t>เปิดให้บริการ (มีเวลาทำการใน Google Maps)</t>
        </is>
      </c>
    </row>
    <row r="118">
      <c r="A118" s="76" t="n">
        <v>117</v>
      </c>
      <c r="B118" s="76" t="inlineStr">
        <is>
          <t>สวนวชิรเบญจทัศ (สวนรถไฟ)</t>
        </is>
      </c>
      <c r="C118" s="76" t="inlineStr">
        <is>
          <t>ร้านของหวาน</t>
        </is>
      </c>
      <c r="D118" s="76" t="inlineStr">
        <is>
          <t>butter bakery ladprao18</t>
        </is>
      </c>
      <c r="E118" s="76" t="n">
        <v>13.8029334</v>
      </c>
      <c r="F118" s="76" t="n">
        <v>100.5683169</v>
      </c>
      <c r="G118" s="76" t="n">
        <v>1.99</v>
      </c>
      <c r="H118" s="76" t="inlineStr">
        <is>
          <t>35/37 ซ.ลาดพร้าว 18 แยก 10 จอมพล จตุจักร</t>
        </is>
      </c>
      <c r="I118" s="76" t="inlineStr">
        <is>
          <t>ทุกวัน 08:00-17:00</t>
        </is>
      </c>
      <c r="J118" s="76" t="inlineStr">
        <is>
          <t>+66 64 935 2949</t>
        </is>
      </c>
      <c r="K118" s="77" t="inlineStr">
        <is>
          <t>https://www.google.com/maps/search/?api=1&amp;query_place_id=ChIJgxZH79-d4jARdL5BQd0W0eM</t>
        </is>
      </c>
      <c r="L118" s="76" t="inlineStr">
        <is>
          <t>เปิดให้บริการ (มีเวลาทำการใน Google Maps)</t>
        </is>
      </c>
    </row>
    <row r="119">
      <c r="A119" s="78" t="n">
        <v>118</v>
      </c>
      <c r="B119" s="78" t="inlineStr">
        <is>
          <t>สวนเบญจกิติ</t>
        </is>
      </c>
      <c r="C119" s="78" t="inlineStr">
        <is>
          <t>ร้านอาหาร</t>
        </is>
      </c>
      <c r="D119" s="78" t="inlineStr">
        <is>
          <t>Zaab Kak Kak</t>
        </is>
      </c>
      <c r="E119" s="78" t="n">
        <v>13.73078</v>
      </c>
      <c r="F119" s="78" t="n">
        <v>100.56112</v>
      </c>
      <c r="G119" s="78" t="n">
        <v>0.31</v>
      </c>
      <c r="H119" s="78" t="inlineStr">
        <is>
          <t>37 ซ.สุขุมวิท 16 คลองเตย</t>
        </is>
      </c>
      <c r="I119" s="78" t="inlineStr">
        <is>
          <t>จ-ส 11:00-22:00 (ปิดอาทิตย์)</t>
        </is>
      </c>
      <c r="J119" s="78" t="inlineStr">
        <is>
          <t>+66 89 955 6445</t>
        </is>
      </c>
      <c r="K119" s="79" t="inlineStr">
        <is>
          <t>https://www.google.com/maps/search/?api=1&amp;query_place_id=ChIJdyUydBWf4jAR5uHs1qUPVDg</t>
        </is>
      </c>
      <c r="L119" s="78" t="inlineStr">
        <is>
          <t>เปิดให้บริการ (มีเวลาทำการใน Google Maps)</t>
        </is>
      </c>
    </row>
    <row r="120">
      <c r="A120" s="76" t="n">
        <v>119</v>
      </c>
      <c r="B120" s="76" t="inlineStr">
        <is>
          <t>สวนเบญจกิติ</t>
        </is>
      </c>
      <c r="C120" s="76" t="inlineStr">
        <is>
          <t>ร้านอาหาร</t>
        </is>
      </c>
      <c r="D120" s="76" t="inlineStr">
        <is>
          <t>PEPE Bangkok</t>
        </is>
      </c>
      <c r="E120" s="76" t="n">
        <v>13.72648</v>
      </c>
      <c r="F120" s="76" t="n">
        <v>100.56154</v>
      </c>
      <c r="G120" s="76" t="n">
        <v>0.43</v>
      </c>
      <c r="H120" s="76" t="inlineStr">
        <is>
          <t>173/3 ซ.สุขุมวิท 16 คลองเตย</t>
        </is>
      </c>
      <c r="I120" s="76" t="inlineStr">
        <is>
          <t>ทุกวัน 17:00-24:00 (เสาร์)</t>
        </is>
      </c>
      <c r="J120" s="76" t="inlineStr">
        <is>
          <t>+66 84 264 9291</t>
        </is>
      </c>
      <c r="K120" s="77" t="inlineStr">
        <is>
          <t>https://www.google.com/maps/search/?api=1&amp;query_place_id=ChIJIUHmOe2f4jAR2l7P6OOm4hg</t>
        </is>
      </c>
      <c r="L120" s="76" t="inlineStr">
        <is>
          <t>เปิดให้บริการ (มีเวลาทำการใน Google Maps)</t>
        </is>
      </c>
    </row>
    <row r="121">
      <c r="A121" s="78" t="n">
        <v>120</v>
      </c>
      <c r="B121" s="78" t="inlineStr">
        <is>
          <t>สวนเบญจกิติ</t>
        </is>
      </c>
      <c r="C121" s="78" t="inlineStr">
        <is>
          <t>ร้านอาหาร</t>
        </is>
      </c>
      <c r="D121" s="78" t="inlineStr">
        <is>
          <t>VIVIN Suk 22 - café grocery bistro</t>
        </is>
      </c>
      <c r="E121" s="78" t="n">
        <v>13.72905</v>
      </c>
      <c r="F121" s="78" t="n">
        <v>100.56521</v>
      </c>
      <c r="G121" s="78" t="n">
        <v>0.7</v>
      </c>
      <c r="H121" s="78" t="inlineStr">
        <is>
          <t>267/5 ซ.สุขุมวิท 22 คลองตัน คลองเตย</t>
        </is>
      </c>
      <c r="I121" s="78" t="inlineStr">
        <is>
          <t>ทุกวัน 08:00-22:00 (เสาร์)</t>
        </is>
      </c>
      <c r="J121" s="78" t="inlineStr">
        <is>
          <t>+66 85 853 0317</t>
        </is>
      </c>
      <c r="K121" s="79" t="inlineStr">
        <is>
          <t>https://www.google.com/maps/search/?api=1&amp;query_place_id=ChIJeeysUW-f4jARY3X5V-UWCpY</t>
        </is>
      </c>
      <c r="L121" s="78" t="inlineStr">
        <is>
          <t>เปิดให้บริการ (มีเวลาทำการใน Google Maps)</t>
        </is>
      </c>
    </row>
    <row r="122">
      <c r="A122" s="76" t="n">
        <v>121</v>
      </c>
      <c r="B122" s="76" t="inlineStr">
        <is>
          <t>สวนเบญจกิติ</t>
        </is>
      </c>
      <c r="C122" s="76" t="inlineStr">
        <is>
          <t>ร้านเครื่องดื่ม</t>
        </is>
      </c>
      <c r="D122" s="76" t="inlineStr">
        <is>
          <t>Lazy Daisy Brunch and Bar</t>
        </is>
      </c>
      <c r="E122" s="76" t="n">
        <v>13.72912</v>
      </c>
      <c r="F122" s="76" t="n">
        <v>100.56141</v>
      </c>
      <c r="G122" s="76" t="n">
        <v>0.29</v>
      </c>
      <c r="H122" s="76" t="inlineStr">
        <is>
          <t>51 ซ.สุขุมวิท 16 คลองเตย</t>
        </is>
      </c>
      <c r="I122" s="76" t="inlineStr">
        <is>
          <t>ทุกวัน 06:00-24:00 (เสาร์)</t>
        </is>
      </c>
      <c r="J122" s="76" t="inlineStr">
        <is>
          <t>+66 94 466 4254</t>
        </is>
      </c>
      <c r="K122" s="77" t="inlineStr">
        <is>
          <t>https://www.google.com/maps/search/?api=1&amp;query_place_id=ChIJoxNMYVef4jARlJwkRLW0B5c</t>
        </is>
      </c>
      <c r="L122" s="76" t="inlineStr">
        <is>
          <t>เปิดให้บริการ (มีเวลาทำการใน Google Maps)</t>
        </is>
      </c>
    </row>
    <row r="123">
      <c r="A123" s="78" t="n">
        <v>122</v>
      </c>
      <c r="B123" s="78" t="inlineStr">
        <is>
          <t>สวนเบญจกิติ</t>
        </is>
      </c>
      <c r="C123" s="78" t="inlineStr">
        <is>
          <t>ร้านเครื่องดื่ม</t>
        </is>
      </c>
      <c r="D123" s="78" t="inlineStr">
        <is>
          <t>Bru Cafe</t>
        </is>
      </c>
      <c r="E123" s="78" t="n">
        <v>13.7291</v>
      </c>
      <c r="F123" s="78" t="n">
        <v>100.56407</v>
      </c>
      <c r="G123" s="78" t="n">
        <v>0.58</v>
      </c>
      <c r="H123" s="78" t="inlineStr">
        <is>
          <t>47 ซ.สุขุมวิท 20 คลองเตย</t>
        </is>
      </c>
      <c r="I123" s="78" t="inlineStr">
        <is>
          <t>ทุกวัน 07:00-19:00 (เสาร์)</t>
        </is>
      </c>
      <c r="J123" s="78" t="inlineStr">
        <is>
          <t>+66 85 832 2316</t>
        </is>
      </c>
      <c r="K123" s="79" t="inlineStr">
        <is>
          <t>https://www.google.com/maps/search/?api=1&amp;query_place_id=ChIJ-9u6LsSf4jARbeQtKXGDs0A</t>
        </is>
      </c>
      <c r="L123" s="78" t="inlineStr">
        <is>
          <t>เปิดให้บริการ (มีเวลาทำการใน Google Maps)</t>
        </is>
      </c>
    </row>
    <row r="124">
      <c r="A124" s="76" t="n">
        <v>123</v>
      </c>
      <c r="B124" s="76" t="inlineStr">
        <is>
          <t>สวนเบญจกิติ</t>
        </is>
      </c>
      <c r="C124" s="76" t="inlineStr">
        <is>
          <t>ร้านเครื่องดื่ม</t>
        </is>
      </c>
      <c r="D124" s="76" t="inlineStr">
        <is>
          <t>Greydient &amp; Them - coffee cafe space</t>
        </is>
      </c>
      <c r="E124" s="76" t="n">
        <v>13.73553</v>
      </c>
      <c r="F124" s="76" t="n">
        <v>100.56077</v>
      </c>
      <c r="G124" s="76" t="n">
        <v>0.73</v>
      </c>
      <c r="H124" s="76" t="inlineStr">
        <is>
          <t>6/25 ถ.รัชดาภิเษก คลองเตย</t>
        </is>
      </c>
      <c r="I124" s="76" t="inlineStr">
        <is>
          <t>ทุกวัน 08:00-17:00 (เสาร์)</t>
        </is>
      </c>
      <c r="J124" s="76" t="inlineStr">
        <is>
          <t>+66 61 393 9146</t>
        </is>
      </c>
      <c r="K124" s="77" t="inlineStr">
        <is>
          <t>https://www.google.com/maps/search/?api=1&amp;query_place_id=ChIJDRLVJwCf4jAR0Ot8NsNbOa8</t>
        </is>
      </c>
      <c r="L124" s="76" t="inlineStr">
        <is>
          <t>เปิดให้บริการ (มีเวลาทำการใน Google Maps)</t>
        </is>
      </c>
    </row>
    <row r="125">
      <c r="A125" s="78" t="n">
        <v>124</v>
      </c>
      <c r="B125" s="78" t="inlineStr">
        <is>
          <t>สวนเบญจกิติ</t>
        </is>
      </c>
      <c r="C125" s="78" t="inlineStr">
        <is>
          <t>ร้านของหวาน</t>
        </is>
      </c>
      <c r="D125" s="78" t="inlineStr">
        <is>
          <t>Rintaro (Emsphere G)</t>
        </is>
      </c>
      <c r="E125" s="78" t="n">
        <v>13.73223</v>
      </c>
      <c r="F125" s="78" t="n">
        <v>100.56629</v>
      </c>
      <c r="G125" s="78" t="n">
        <v>0.88</v>
      </c>
      <c r="H125" s="78" t="inlineStr">
        <is>
          <t>Emsphere ชั้น G ถ.สุขุมวิท คลองตัน คลองเตย</t>
        </is>
      </c>
      <c r="I125" s="78" t="inlineStr">
        <is>
          <t>ทุกวัน 10:00-22:00 (เสาร์)</t>
        </is>
      </c>
      <c r="J125" s="78" t="inlineStr">
        <is>
          <t>+66 65 929 2253</t>
        </is>
      </c>
      <c r="K125" s="79" t="inlineStr">
        <is>
          <t>https://www.google.com/maps/search/?api=1&amp;query_place_id=ChIJTffLINKf4jARnwxAuG6p0lM</t>
        </is>
      </c>
      <c r="L125" s="78" t="inlineStr">
        <is>
          <t>เปิดให้บริการ (มีเวลาทำการใน Google Maps)</t>
        </is>
      </c>
    </row>
    <row r="126">
      <c r="A126" s="76" t="n">
        <v>125</v>
      </c>
      <c r="B126" s="76" t="inlineStr">
        <is>
          <t>สวนเบญจกิติ</t>
        </is>
      </c>
      <c r="C126" s="76" t="inlineStr">
        <is>
          <t>ร้านของหวาน</t>
        </is>
      </c>
      <c r="D126" s="76" t="inlineStr">
        <is>
          <t>ไอติมกะทิ เมืองกรุง Mueng Krung Coconut Icecream (Terminal 21)</t>
        </is>
      </c>
      <c r="E126" s="76" t="n">
        <v>13.73824</v>
      </c>
      <c r="F126" s="76" t="n">
        <v>100.56071</v>
      </c>
      <c r="G126" s="76" t="n">
        <v>1.02</v>
      </c>
      <c r="H126" s="76" t="inlineStr">
        <is>
          <t>Terminal 21 อโศก ชั้น 5 Pier 21 สุขุมวิท 19</t>
        </is>
      </c>
      <c r="I126" s="76" t="inlineStr">
        <is>
          <t>ทุกวัน 10:00-22:00 (เสาร์)</t>
        </is>
      </c>
      <c r="J126" s="76" t="inlineStr">
        <is>
          <t>+66 98 814 9424</t>
        </is>
      </c>
      <c r="K126" s="77" t="inlineStr">
        <is>
          <t>https://www.google.com/maps/search/?api=1&amp;query_place_id=ChIJv3VwJXSf4jARP81DD3Ian_8</t>
        </is>
      </c>
      <c r="L126" s="76" t="inlineStr">
        <is>
          <t>เปิดให้บริการ (มีเวลาทำการใน Google Maps)</t>
        </is>
      </c>
    </row>
    <row r="127">
      <c r="A127" s="78" t="n">
        <v>126</v>
      </c>
      <c r="B127" s="78" t="inlineStr">
        <is>
          <t>สวนเบญจกิติ</t>
        </is>
      </c>
      <c r="C127" s="78" t="inlineStr">
        <is>
          <t>ร้านของหวาน</t>
        </is>
      </c>
      <c r="D127" s="78" t="inlineStr">
        <is>
          <t>Gelato &amp; Co Autentica Ricetta Italiana</t>
        </is>
      </c>
      <c r="E127" s="78" t="n">
        <v>13.73678</v>
      </c>
      <c r="F127" s="78" t="n">
        <v>100.57156</v>
      </c>
      <c r="G127" s="78" t="n">
        <v>1.62</v>
      </c>
      <c r="H127" s="78" t="inlineStr">
        <is>
          <t>53 ซ.สุขุมวิท 39 คลองตันเหนือ วัฒนา</t>
        </is>
      </c>
      <c r="I127" s="78" t="inlineStr">
        <is>
          <t>ทุกวัน 12:00-23:00 (เสาร์)</t>
        </is>
      </c>
      <c r="J127" s="78" t="inlineStr">
        <is>
          <t>+66 63 901 1149</t>
        </is>
      </c>
      <c r="K127" s="79" t="inlineStr">
        <is>
          <t>https://www.google.com/maps/search/?api=1&amp;query_place_id=ChIJMZRb-NOf4jARXrQz_rKnSow</t>
        </is>
      </c>
      <c r="L127" s="78" t="inlineStr">
        <is>
          <t>เปิดให้บริการ (มีเวลาทำการใน Google Maps)</t>
        </is>
      </c>
    </row>
    <row r="128">
      <c r="A128" s="76" t="n">
        <v>127</v>
      </c>
      <c r="B128" s="76" t="inlineStr">
        <is>
          <t>ตลาดจตุจักร</t>
        </is>
      </c>
      <c r="C128" s="76" t="inlineStr">
        <is>
          <t>ร้านอาหาร</t>
        </is>
      </c>
      <c r="D128" s="76" t="inlineStr">
        <is>
          <t>วันวิน บะหมี่ปู ONEWIN CRAB NOODLES</t>
        </is>
      </c>
      <c r="E128" s="76" t="n">
        <v>13.8005</v>
      </c>
      <c r="F128" s="76" t="n">
        <v>100.55179</v>
      </c>
      <c r="G128" s="76" t="n">
        <v>0.17</v>
      </c>
      <c r="H128" s="76" t="inlineStr">
        <is>
          <t>ตลาดนัดจตุจักร จตุจักร</t>
        </is>
      </c>
      <c r="I128" s="76" t="inlineStr">
        <is>
          <t>อ-อา 08:30-22:00 (ปิดจันทร์)</t>
        </is>
      </c>
      <c r="J128" s="76" t="inlineStr">
        <is>
          <t>+66 98 264 5686</t>
        </is>
      </c>
      <c r="K128" s="77" t="inlineStr">
        <is>
          <t>https://www.google.com/maps/search/?api=1&amp;query_place_id=ChIJc_7gsZWd4jARFn4gx5gOp-0</t>
        </is>
      </c>
      <c r="L128" s="76" t="inlineStr">
        <is>
          <t>เปิดให้บริการ (มีเวลาทำการใน Google Maps)</t>
        </is>
      </c>
    </row>
    <row r="129">
      <c r="A129" s="78" t="n">
        <v>128</v>
      </c>
      <c r="B129" s="78" t="inlineStr">
        <is>
          <t>ตลาดจตุจักร</t>
        </is>
      </c>
      <c r="C129" s="78" t="inlineStr">
        <is>
          <t>ร้านอาหาร</t>
        </is>
      </c>
      <c r="D129" s="78" t="inlineStr">
        <is>
          <t>ก๋วยเตี๋ยวหมูสนั่น (สูตรผู้พันเป้ง) หลังตลาด อ.ต.ก.</t>
        </is>
      </c>
      <c r="E129" s="78" t="n">
        <v>13.79669</v>
      </c>
      <c r="F129" s="78" t="n">
        <v>100.54991</v>
      </c>
      <c r="G129" s="78" t="n">
        <v>0.35</v>
      </c>
      <c r="H129" s="78" t="inlineStr">
        <is>
          <t>หลังตลาด อ.ต.ก. ติดประตู 4 101 ถ.กำแพงเพชร</t>
        </is>
      </c>
      <c r="I129" s="78" t="inlineStr">
        <is>
          <t>ทุกวัน 08:30-17:00 (ปิดพุธ)</t>
        </is>
      </c>
      <c r="J129" s="78" t="inlineStr">
        <is>
          <t>+66 95 705 9542</t>
        </is>
      </c>
      <c r="K129" s="79" t="inlineStr">
        <is>
          <t>https://www.google.com/maps/search/?api=1&amp;query_place_id=ChIJyZeU6ZCd4jAR-dFDYsfWLxY</t>
        </is>
      </c>
      <c r="L129" s="78" t="inlineStr">
        <is>
          <t>เปิดให้บริการ (มีเวลาทำการใน Google Maps)</t>
        </is>
      </c>
    </row>
    <row r="130">
      <c r="A130" s="76" t="n">
        <v>129</v>
      </c>
      <c r="B130" s="76" t="inlineStr">
        <is>
          <t>ตลาดจตุจักร</t>
        </is>
      </c>
      <c r="C130" s="76" t="inlineStr">
        <is>
          <t>ร้านอาหาร</t>
        </is>
      </c>
      <c r="D130" s="76" t="inlineStr">
        <is>
          <t>LARDER Chatuchak</t>
        </is>
      </c>
      <c r="E130" s="76" t="n">
        <v>13.79845</v>
      </c>
      <c r="F130" s="76" t="n">
        <v>100.54685</v>
      </c>
      <c r="G130" s="76" t="n">
        <v>0.41</v>
      </c>
      <c r="H130" s="76" t="inlineStr">
        <is>
          <t>18 ถ.กำแพงเพชร จตุจักร</t>
        </is>
      </c>
      <c r="I130" s="76" t="inlineStr">
        <is>
          <t>ทุกวัน 07:00-17:00, 18:00-23:00</t>
        </is>
      </c>
      <c r="J130" s="76" t="inlineStr">
        <is>
          <t>+66 82 114 6964</t>
        </is>
      </c>
      <c r="K130" s="77" t="inlineStr">
        <is>
          <t>https://www.google.com/maps/search/?api=1&amp;query_place_id=ChIJPXkelled4jARSc3rqUFfrYI</t>
        </is>
      </c>
      <c r="L130" s="76" t="inlineStr">
        <is>
          <t>เปิดให้บริการ (มีเวลาทำการใน Google Maps)</t>
        </is>
      </c>
    </row>
    <row r="131">
      <c r="A131" s="78" t="n">
        <v>130</v>
      </c>
      <c r="B131" s="78" t="inlineStr">
        <is>
          <t>ตลาดจตุจักร</t>
        </is>
      </c>
      <c r="C131" s="78" t="inlineStr">
        <is>
          <t>ร้านเครื่องดื่ม</t>
        </is>
      </c>
      <c r="D131" s="78" t="inlineStr">
        <is>
          <t>Dusha Cafe (Chatuchak Mixt)</t>
        </is>
      </c>
      <c r="E131" s="78" t="n">
        <v>13.80256</v>
      </c>
      <c r="F131" s="78" t="n">
        <v>100.55144</v>
      </c>
      <c r="G131" s="78" t="n">
        <v>0.33</v>
      </c>
      <c r="H131" s="78" t="inlineStr">
        <is>
          <t>Chatuchak Mixt ถ.กำแพงเพชร 3 จตุจักร</t>
        </is>
      </c>
      <c r="I131" s="78" t="inlineStr">
        <is>
          <t>ทุกวัน 10:00-20:30 (เสาร์)</t>
        </is>
      </c>
      <c r="J131" s="78" t="inlineStr">
        <is>
          <t>+66 92 689 1370</t>
        </is>
      </c>
      <c r="K131" s="79" t="inlineStr">
        <is>
          <t>https://www.google.com/maps/search/?api=1&amp;query_place_id=ChIJtUQkVjKd4jAR2b9jlAmSKdQ</t>
        </is>
      </c>
      <c r="L131" s="78" t="inlineStr">
        <is>
          <t>เปิดให้บริการ (มีเวลาทำการใน Google Maps)</t>
        </is>
      </c>
    </row>
    <row r="132">
      <c r="A132" s="76" t="n">
        <v>131</v>
      </c>
      <c r="B132" s="76" t="inlineStr">
        <is>
          <t>ตลาดจตุจักร</t>
        </is>
      </c>
      <c r="C132" s="76" t="inlineStr">
        <is>
          <t>ร้านเครื่องดื่ม</t>
        </is>
      </c>
      <c r="D132" s="76" t="inlineStr">
        <is>
          <t>Café mystère คาเฟ่มิสแตร์</t>
        </is>
      </c>
      <c r="E132" s="76" t="n">
        <v>13.7979</v>
      </c>
      <c r="F132" s="76" t="n">
        <v>100.54746</v>
      </c>
      <c r="G132" s="76" t="n">
        <v>0.38</v>
      </c>
      <c r="H132" s="76" t="inlineStr">
        <is>
          <t>431 ลาดยาว จตุจักร</t>
        </is>
      </c>
      <c r="I132" s="76" t="inlineStr">
        <is>
          <t>อ-อา 09:00-18:00 (ปิดจันทร์)</t>
        </is>
      </c>
      <c r="J132" s="76" t="inlineStr">
        <is>
          <t>+66 81 929 6549</t>
        </is>
      </c>
      <c r="K132" s="77" t="inlineStr">
        <is>
          <t>https://www.google.com/maps/search/?api=1&amp;query_place_id=ChIJxdlKHpOd4jAREYNZpzh9udo</t>
        </is>
      </c>
      <c r="L132" s="76" t="inlineStr">
        <is>
          <t>เปิดให้บริการ (มีเวลาทำการใน Google Maps)</t>
        </is>
      </c>
    </row>
    <row r="133">
      <c r="A133" s="78" t="n">
        <v>132</v>
      </c>
      <c r="B133" s="78" t="inlineStr">
        <is>
          <t>ตลาดจตุจักร</t>
        </is>
      </c>
      <c r="C133" s="78" t="inlineStr">
        <is>
          <t>ร้านเครื่องดื่ม</t>
        </is>
      </c>
      <c r="D133" s="78" t="inlineStr">
        <is>
          <t>TRAVELLER The Coffee Shop</t>
        </is>
      </c>
      <c r="E133" s="78" t="n">
        <v>13.79794</v>
      </c>
      <c r="F133" s="78" t="n">
        <v>100.54792</v>
      </c>
      <c r="G133" s="78" t="n">
        <v>0.34</v>
      </c>
      <c r="H133" s="78" t="inlineStr">
        <is>
          <t>MRT กำแพงเพชร ประตู 1 ถ.กำแพงเพชร</t>
        </is>
      </c>
      <c r="I133" s="78" t="inlineStr">
        <is>
          <t>ทุกวัน 08:00-18:30 (ปิดอังคาร)</t>
        </is>
      </c>
      <c r="J133" s="78" t="inlineStr">
        <is>
          <t>-</t>
        </is>
      </c>
      <c r="K133" s="79" t="inlineStr">
        <is>
          <t>https://www.google.com/maps/search/?api=1&amp;query_place_id=ChIJSTyov--d4jARAIj_Zg7hubk</t>
        </is>
      </c>
      <c r="L133" s="78" t="inlineStr">
        <is>
          <t>เปิดให้บริการ (มีเวลาทำการใน Google Maps)</t>
        </is>
      </c>
    </row>
    <row r="134">
      <c r="A134" s="76" t="n">
        <v>133</v>
      </c>
      <c r="B134" s="76" t="inlineStr">
        <is>
          <t>ตลาดจตุจักร</t>
        </is>
      </c>
      <c r="C134" s="76" t="inlineStr">
        <is>
          <t>ร้านของหวาน</t>
        </is>
      </c>
      <c r="D134" s="76" t="inlineStr">
        <is>
          <t>Heart Rock CoConut Ice cream</t>
        </is>
      </c>
      <c r="E134" s="76" t="n">
        <v>13.7984484</v>
      </c>
      <c r="F134" s="76" t="n">
        <v>100.550622</v>
      </c>
      <c r="G134" s="76" t="n">
        <v>0.15</v>
      </c>
      <c r="H134" s="76" t="inlineStr">
        <is>
          <t>โครงการ 21 ตลาดนัดจตุจักร</t>
        </is>
      </c>
      <c r="I134" s="76" t="inlineStr">
        <is>
          <t>ศ 15:30-23:00 / ส-อา 08:30-23:00 (ปิดจันทร์-พฤหัสบดี)</t>
        </is>
      </c>
      <c r="J134" s="76" t="inlineStr">
        <is>
          <t>+66 61 619 5909</t>
        </is>
      </c>
      <c r="K134" s="77" t="inlineStr">
        <is>
          <t>https://www.google.com/maps/search/?api=1&amp;query_place_id=ChIJo96cuPOd4jARLtWjUtP1Ec4</t>
        </is>
      </c>
      <c r="L134" s="76" t="inlineStr">
        <is>
          <t>เปิดให้บริการ (มีเวลาทำการใน Google Maps)</t>
        </is>
      </c>
    </row>
    <row r="135">
      <c r="A135" s="78" t="n">
        <v>134</v>
      </c>
      <c r="B135" s="78" t="inlineStr">
        <is>
          <t>ตลาดจตุจักร</t>
        </is>
      </c>
      <c r="C135" s="78" t="inlineStr">
        <is>
          <t>ร้านของหวาน</t>
        </is>
      </c>
      <c r="D135" s="78" t="inlineStr">
        <is>
          <t>Coconut Ice Cream Chatuchak</t>
        </is>
      </c>
      <c r="E135" s="78" t="n">
        <v>13.80079</v>
      </c>
      <c r="F135" s="78" t="n">
        <v>100.55186</v>
      </c>
      <c r="G135" s="78" t="n">
        <v>0.19</v>
      </c>
      <c r="H135" s="78" t="inlineStr">
        <is>
          <t>ตลาดนัดจตุจักร จตุจักร</t>
        </is>
      </c>
      <c r="I135" s="78" t="inlineStr">
        <is>
          <t>ทุกวัน 10:00-18:00 (เสาร์)</t>
        </is>
      </c>
      <c r="J135" s="78" t="inlineStr">
        <is>
          <t>-</t>
        </is>
      </c>
      <c r="K135" s="79" t="inlineStr">
        <is>
          <t>https://www.google.com/maps/search/?api=1&amp;query_place_id=ChIJw3rEYBWc4jARovBwcCEAYg8</t>
        </is>
      </c>
      <c r="L135" s="78" t="inlineStr">
        <is>
          <t>เปิดให้บริการ (มีเวลาทำการใน Google Maps)</t>
        </is>
      </c>
    </row>
    <row r="136">
      <c r="A136" s="76" t="n">
        <v>135</v>
      </c>
      <c r="B136" s="76" t="inlineStr">
        <is>
          <t>ตลาดจตุจักร</t>
        </is>
      </c>
      <c r="C136" s="76" t="inlineStr">
        <is>
          <t>ร้านของหวาน</t>
        </is>
      </c>
      <c r="D136" s="76" t="inlineStr">
        <is>
          <t>Swensen's Mixt Chatuchak</t>
        </is>
      </c>
      <c r="E136" s="76" t="n">
        <v>13.80188</v>
      </c>
      <c r="F136" s="76" t="n">
        <v>100.55096</v>
      </c>
      <c r="G136" s="76" t="n">
        <v>0.24</v>
      </c>
      <c r="H136" s="76" t="inlineStr">
        <is>
          <t>8 ถ.กำแพงเพชร 3 จตุจักร</t>
        </is>
      </c>
      <c r="I136" s="76" t="inlineStr">
        <is>
          <t>ทุกวัน 10:00-20:00 (เสาร์)</t>
        </is>
      </c>
      <c r="J136" s="76" t="inlineStr">
        <is>
          <t>+66 85 803 2820</t>
        </is>
      </c>
      <c r="K136" s="77" t="inlineStr">
        <is>
          <t>https://www.google.com/maps/search/?api=1&amp;query_place_id=ChIJw4cHbwCd4jARNo-5tj8cDeE</t>
        </is>
      </c>
      <c r="L136" s="76" t="inlineStr">
        <is>
          <t>เปิดให้บริการ (มีเวลาทำการใน Google Maps)</t>
        </is>
      </c>
    </row>
    <row r="137">
      <c r="A137" s="78" t="n">
        <v>136</v>
      </c>
      <c r="B137" s="78" t="inlineStr">
        <is>
          <t>สยามพารากอน</t>
        </is>
      </c>
      <c r="C137" s="78" t="inlineStr">
        <is>
          <t>ร้านอาหาร</t>
        </is>
      </c>
      <c r="D137" s="78" t="inlineStr">
        <is>
          <t>Kaneko Hannosuke Siam Paragon</t>
        </is>
      </c>
      <c r="E137" s="78" t="n">
        <v>13.74669</v>
      </c>
      <c r="F137" s="78" t="n">
        <v>100.53487</v>
      </c>
      <c r="G137" s="78" t="n">
        <v>0.06</v>
      </c>
      <c r="H137" s="78" t="inlineStr">
        <is>
          <t>ชั้น 4 สยามพารากอน 991 ถ.พระราม 1 ปทุมวัน</t>
        </is>
      </c>
      <c r="I137" s="78" t="inlineStr">
        <is>
          <t>ทุกวัน 10:00-22:00</t>
        </is>
      </c>
      <c r="J137" s="78" t="inlineStr">
        <is>
          <t>+66 98 559 2694</t>
        </is>
      </c>
      <c r="K137" s="79" t="inlineStr">
        <is>
          <t>https://www.google.com/maps/search/?api=1&amp;query_place_id=ChIJjdP6OTyf4jARimhHXNzD-Nw</t>
        </is>
      </c>
      <c r="L137" s="78" t="inlineStr">
        <is>
          <t>เปิดให้บริการ (มีเวลาทำการใน Google Maps)</t>
        </is>
      </c>
    </row>
    <row r="138">
      <c r="A138" s="76" t="n">
        <v>137</v>
      </c>
      <c r="B138" s="76" t="inlineStr">
        <is>
          <t>สยามพารากอน</t>
        </is>
      </c>
      <c r="C138" s="76" t="inlineStr">
        <is>
          <t>ร้านอาหาร</t>
        </is>
      </c>
      <c r="D138" s="76" t="inlineStr">
        <is>
          <t>Sot Siam Paragon - Korean Pot Rice</t>
        </is>
      </c>
      <c r="E138" s="76" t="n">
        <v>13.74637</v>
      </c>
      <c r="F138" s="76" t="n">
        <v>100.53447</v>
      </c>
      <c r="G138" s="76" t="n">
        <v>0.05</v>
      </c>
      <c r="H138" s="76" t="inlineStr">
        <is>
          <t>ชั้น 4 สยามพารากอน 991 ถ.พระราม 1 ปทุมวัน</t>
        </is>
      </c>
      <c r="I138" s="76" t="inlineStr">
        <is>
          <t>ทุกวัน 10:00-22:00</t>
        </is>
      </c>
      <c r="J138" s="76" t="inlineStr">
        <is>
          <t>+66 82 105 9971</t>
        </is>
      </c>
      <c r="K138" s="77" t="inlineStr">
        <is>
          <t>https://www.google.com/maps/search/?api=1&amp;query_place_id=ChIJR8JsZ7Gf4jARsMFdVqqbpSI</t>
        </is>
      </c>
      <c r="L138" s="76" t="inlineStr">
        <is>
          <t>เปิดให้บริการ (มีเวลาทำการใน Google Maps)</t>
        </is>
      </c>
    </row>
    <row r="139">
      <c r="A139" s="78" t="n">
        <v>138</v>
      </c>
      <c r="B139" s="78" t="inlineStr">
        <is>
          <t>สยามพารากอน</t>
        </is>
      </c>
      <c r="C139" s="78" t="inlineStr">
        <is>
          <t>ร้านอาหาร</t>
        </is>
      </c>
      <c r="D139" s="78" t="inlineStr">
        <is>
          <t>MAGURO Kappou สาขา Siam Paragon</t>
        </is>
      </c>
      <c r="E139" s="78" t="n">
        <v>13.7463</v>
      </c>
      <c r="F139" s="78" t="n">
        <v>100.53502</v>
      </c>
      <c r="G139" s="78" t="n">
        <v>0.02</v>
      </c>
      <c r="H139" s="78" t="inlineStr">
        <is>
          <t>ชั้น 4 สยามพารากอน 991 ถ.พระราม 1 ปทุมวัน</t>
        </is>
      </c>
      <c r="I139" s="78" t="inlineStr">
        <is>
          <t>ทุกวัน 10:00-22:00</t>
        </is>
      </c>
      <c r="J139" s="78" t="inlineStr">
        <is>
          <t>+66 83 926 6452</t>
        </is>
      </c>
      <c r="K139" s="79" t="inlineStr">
        <is>
          <t>https://www.google.com/maps/search/?api=1&amp;query_place_id=ChIJ-e7PJwCf4jARb2x7TYmSFn0</t>
        </is>
      </c>
      <c r="L139" s="78" t="inlineStr">
        <is>
          <t>เปิดให้บริการ (มีเวลาทำการใน Google Maps)</t>
        </is>
      </c>
    </row>
    <row r="140">
      <c r="A140" s="76" t="n">
        <v>139</v>
      </c>
      <c r="B140" s="76" t="inlineStr">
        <is>
          <t>สยามพารากอน</t>
        </is>
      </c>
      <c r="C140" s="76" t="inlineStr">
        <is>
          <t>ร้านเครื่องดื่ม</t>
        </is>
      </c>
      <c r="D140" s="76" t="inlineStr">
        <is>
          <t>Bacha Coffee Siam Paragon</t>
        </is>
      </c>
      <c r="E140" s="76" t="n">
        <v>13.74642</v>
      </c>
      <c r="F140" s="76" t="n">
        <v>100.53461</v>
      </c>
      <c r="G140" s="76" t="n">
        <v>0.04</v>
      </c>
      <c r="H140" s="76" t="inlineStr">
        <is>
          <t>G15 สยามพารากอน 991 ถ.พระราม 1 ปทุมวัน</t>
        </is>
      </c>
      <c r="I140" s="76" t="inlineStr">
        <is>
          <t>ทุกวัน 10:00-22:00</t>
        </is>
      </c>
      <c r="J140" s="76" t="inlineStr">
        <is>
          <t>+66 91 783 9998</t>
        </is>
      </c>
      <c r="K140" s="77" t="inlineStr">
        <is>
          <t>https://www.google.com/maps/search/?api=1&amp;query_place_id=ChIJuSKxXgCf4jAR-_vdS8kcUXA</t>
        </is>
      </c>
      <c r="L140" s="76" t="inlineStr">
        <is>
          <t>เปิดให้บริการ (มีเวลาทำการใน Google Maps)</t>
        </is>
      </c>
    </row>
    <row r="141">
      <c r="A141" s="78" t="n">
        <v>140</v>
      </c>
      <c r="B141" s="78" t="inlineStr">
        <is>
          <t>สยามพารากอน</t>
        </is>
      </c>
      <c r="C141" s="78" t="inlineStr">
        <is>
          <t>ร้านเครื่องดื่ม</t>
        </is>
      </c>
      <c r="D141" s="78" t="inlineStr">
        <is>
          <t>The Summer Coffee Siam Paragon</t>
        </is>
      </c>
      <c r="E141" s="78" t="n">
        <v>13.74595</v>
      </c>
      <c r="F141" s="78" t="n">
        <v>100.53475</v>
      </c>
      <c r="G141" s="78" t="n">
        <v>0.03</v>
      </c>
      <c r="H141" s="78" t="inlineStr">
        <is>
          <t>สยามพารากอน ถ.พระราม 1 ปทุมวัน</t>
        </is>
      </c>
      <c r="I141" s="78" t="inlineStr">
        <is>
          <t>ทุกวัน 10:00-22:00</t>
        </is>
      </c>
      <c r="J141" s="78" t="inlineStr">
        <is>
          <t>-</t>
        </is>
      </c>
      <c r="K141" s="79" t="inlineStr">
        <is>
          <t>https://www.google.com/maps/search/?api=1&amp;query_place_id=ChIJEfw6CQCf4jARFu-A7izcm2w</t>
        </is>
      </c>
      <c r="L141" s="78" t="inlineStr">
        <is>
          <t>เปิดให้บริการ (มีเวลาทำการใน Google Maps)</t>
        </is>
      </c>
    </row>
    <row r="142">
      <c r="A142" s="76" t="n">
        <v>141</v>
      </c>
      <c r="B142" s="76" t="inlineStr">
        <is>
          <t>สยามพารากอน</t>
        </is>
      </c>
      <c r="C142" s="76" t="inlineStr">
        <is>
          <t>ร้านเครื่องดื่ม</t>
        </is>
      </c>
      <c r="D142" s="76" t="inlineStr">
        <is>
          <t>Karun Thai Tea Siam Paragon</t>
        </is>
      </c>
      <c r="E142" s="76" t="n">
        <v>13.74713</v>
      </c>
      <c r="F142" s="76" t="n">
        <v>100.53437</v>
      </c>
      <c r="G142" s="76" t="n">
        <v>0.12</v>
      </c>
      <c r="H142" s="76" t="inlineStr">
        <is>
          <t>ชั้น G สยามพารากอน 991/1 ถ.พระราม 1 ปทุมวัน</t>
        </is>
      </c>
      <c r="I142" s="76" t="inlineStr">
        <is>
          <t>ทุกวัน 10:00-21:30</t>
        </is>
      </c>
      <c r="J142" s="76" t="inlineStr">
        <is>
          <t>+66 82 939 4564</t>
        </is>
      </c>
      <c r="K142" s="77" t="inlineStr">
        <is>
          <t>https://www.google.com/maps/search/?api=1&amp;query_place_id=ChIJI9x17Omf4jARDqrBnFQoX5w</t>
        </is>
      </c>
      <c r="L142" s="76" t="inlineStr">
        <is>
          <t>เปิดให้บริการ (มีเวลาทำการใน Google Maps)</t>
        </is>
      </c>
    </row>
    <row r="143">
      <c r="A143" s="78" t="n">
        <v>142</v>
      </c>
      <c r="B143" s="78" t="inlineStr">
        <is>
          <t>สยามพารากอน</t>
        </is>
      </c>
      <c r="C143" s="78" t="inlineStr">
        <is>
          <t>ร้านของหวาน</t>
        </is>
      </c>
      <c r="D143" s="78" t="inlineStr">
        <is>
          <t>Luscious Creamery Siam Paragon</t>
        </is>
      </c>
      <c r="E143" s="78" t="n">
        <v>13.74674</v>
      </c>
      <c r="F143" s="78" t="n">
        <v>100.53503</v>
      </c>
      <c r="G143" s="78" t="n">
        <v>0.07000000000000001</v>
      </c>
      <c r="H143" s="78" t="inlineStr">
        <is>
          <t>ชั้น 4 สยามพารากอน 991 ถ.พระราม 1 ปทุมวัน</t>
        </is>
      </c>
      <c r="I143" s="78" t="inlineStr">
        <is>
          <t>ทุกวัน 11:00-22:00</t>
        </is>
      </c>
      <c r="J143" s="78" t="inlineStr">
        <is>
          <t>+66 64 945 8057</t>
        </is>
      </c>
      <c r="K143" s="79" t="inlineStr">
        <is>
          <t>https://www.google.com/maps/search/?api=1&amp;query_place_id=ChIJOTbgFaCf4jAR7kIzCLDVcN8</t>
        </is>
      </c>
      <c r="L143" s="78" t="inlineStr">
        <is>
          <t>เปิดให้บริการ (มีเวลาทำการใน Google Maps)</t>
        </is>
      </c>
    </row>
    <row r="144">
      <c r="A144" s="76" t="n">
        <v>143</v>
      </c>
      <c r="B144" s="76" t="inlineStr">
        <is>
          <t>สยามพารากอน</t>
        </is>
      </c>
      <c r="C144" s="76" t="inlineStr">
        <is>
          <t>ร้านของหวาน</t>
        </is>
      </c>
      <c r="D144" s="76" t="inlineStr">
        <is>
          <t>ขนมไทย หยกสด ใบเตยแท้ 100% - Siam Paragon</t>
        </is>
      </c>
      <c r="E144" s="76" t="n">
        <v>13.7464914</v>
      </c>
      <c r="F144" s="76" t="n">
        <v>100.5345774</v>
      </c>
      <c r="G144" s="76" t="n">
        <v>0.05</v>
      </c>
      <c r="H144" s="76" t="inlineStr">
        <is>
          <t>ชั้น G Gourmet Market สยามพารากอน</t>
        </is>
      </c>
      <c r="I144" s="76" t="inlineStr">
        <is>
          <t>ทุกวัน 10:00-22:00</t>
        </is>
      </c>
      <c r="J144" s="76" t="inlineStr">
        <is>
          <t>+66 61 272 4990</t>
        </is>
      </c>
      <c r="K144" s="77" t="inlineStr">
        <is>
          <t>https://www.google.com/maps/search/?api=1&amp;query_place_id=ChIJUYtlbzyf4jAR7COgQ6vymRE</t>
        </is>
      </c>
      <c r="L144" s="76" t="inlineStr">
        <is>
          <t>เปิดให้บริการ (มีเวลาทำการใน Google Maps)</t>
        </is>
      </c>
    </row>
    <row r="145">
      <c r="A145" s="78" t="n">
        <v>144</v>
      </c>
      <c r="B145" s="78" t="inlineStr">
        <is>
          <t>สยามพารากอน</t>
        </is>
      </c>
      <c r="C145" s="78" t="inlineStr">
        <is>
          <t>ร้านของหวาน</t>
        </is>
      </c>
      <c r="D145" s="78" t="inlineStr">
        <is>
          <t>Pang Cha Cafe Siam Paragon</t>
        </is>
      </c>
      <c r="E145" s="78" t="n">
        <v>13.74767</v>
      </c>
      <c r="F145" s="78" t="n">
        <v>100.53472</v>
      </c>
      <c r="G145" s="78" t="n">
        <v>0.17</v>
      </c>
      <c r="H145" s="78" t="inlineStr">
        <is>
          <t>ชั้น G สยามพารากอน 991/1 ถ.พระราม 1 ปทุมวัน</t>
        </is>
      </c>
      <c r="I145" s="78" t="inlineStr">
        <is>
          <t>ทุกวัน 10:00-22:00</t>
        </is>
      </c>
      <c r="J145" s="78" t="inlineStr">
        <is>
          <t>+66 2 028 8323</t>
        </is>
      </c>
      <c r="K145" s="79" t="inlineStr">
        <is>
          <t>https://www.google.com/maps/search/?api=1&amp;query_place_id=ChIJpcosguSZ4jARk4ksUBZuelo</t>
        </is>
      </c>
      <c r="L145" s="78" t="inlineStr">
        <is>
          <t>เปิดให้บริการ (มีเวลาทำการใน Google Maps)</t>
        </is>
      </c>
    </row>
    <row r="146">
      <c r="A146" s="76" t="n">
        <v>145</v>
      </c>
      <c r="B146" s="76" t="inlineStr">
        <is>
          <t>ไอคอนสยาม</t>
        </is>
      </c>
      <c r="C146" s="76" t="inlineStr">
        <is>
          <t>ร้านอาหาร</t>
        </is>
      </c>
      <c r="D146" s="76" t="inlineStr">
        <is>
          <t>KJP - KHAO JAAN PROD (ICONSIAM)</t>
        </is>
      </c>
      <c r="E146" s="76" t="n">
        <v>13.72685</v>
      </c>
      <c r="F146" s="76" t="n">
        <v>100.5109</v>
      </c>
      <c r="G146" s="76" t="n">
        <v>0.08</v>
      </c>
      <c r="H146" s="76" t="inlineStr">
        <is>
          <t>ชั้น 2 ห้อง 211 ICONSIAM 299 ถ.เจริญนคร คลองต้นไทร</t>
        </is>
      </c>
      <c r="I146" s="76" t="inlineStr">
        <is>
          <t>ทุกวัน 11:00-22:00 (เสาร์)</t>
        </is>
      </c>
      <c r="J146" s="76" t="inlineStr">
        <is>
          <t>+66 65 710 9999</t>
        </is>
      </c>
      <c r="K146" s="77" t="inlineStr">
        <is>
          <t>https://www.google.com/maps/search/?api=1&amp;query_place_id=ChIJjzv-dPKZ4jARCp1aouyBpE8</t>
        </is>
      </c>
      <c r="L146" s="76" t="inlineStr">
        <is>
          <t>เปิดให้บริการ (มีเวลาทำการใน Google Maps)</t>
        </is>
      </c>
    </row>
    <row r="147">
      <c r="A147" s="78" t="n">
        <v>146</v>
      </c>
      <c r="B147" s="78" t="inlineStr">
        <is>
          <t>ไอคอนสยาม</t>
        </is>
      </c>
      <c r="C147" s="78" t="inlineStr">
        <is>
          <t>ร้านอาหาร</t>
        </is>
      </c>
      <c r="D147" s="78" t="inlineStr">
        <is>
          <t>Bread Street Kitchen &amp; Bar - ICONSIAM</t>
        </is>
      </c>
      <c r="E147" s="78" t="n">
        <v>13.72632</v>
      </c>
      <c r="F147" s="78" t="n">
        <v>100.51027</v>
      </c>
      <c r="G147" s="78" t="n">
        <v>0.02</v>
      </c>
      <c r="H147" s="78" t="inlineStr">
        <is>
          <t>ชั้น 3 ICONSIAM 299 ถ.เจริญนคร คลองต้นไทร</t>
        </is>
      </c>
      <c r="I147" s="78" t="inlineStr">
        <is>
          <t>ทุกวัน 11:30-22:00 (เสาร์)</t>
        </is>
      </c>
      <c r="J147" s="78" t="inlineStr">
        <is>
          <t>+66 92 271 9995</t>
        </is>
      </c>
      <c r="K147" s="79" t="inlineStr">
        <is>
          <t>https://www.google.com/maps/search/?api=1&amp;query_place_id=ChIJf5HPKgCZ4jARFwKPTrMCfsw</t>
        </is>
      </c>
      <c r="L147" s="78" t="inlineStr">
        <is>
          <t>เปิดให้บริการ (มีเวลาทำการใน Google Maps)</t>
        </is>
      </c>
    </row>
    <row r="148">
      <c r="A148" s="76" t="n">
        <v>147</v>
      </c>
      <c r="B148" s="76" t="inlineStr">
        <is>
          <t>ไอคอนสยาม</t>
        </is>
      </c>
      <c r="C148" s="76" t="inlineStr">
        <is>
          <t>ร้านอาหาร</t>
        </is>
      </c>
      <c r="D148" s="76" t="inlineStr">
        <is>
          <t>Tonkatsu AOKI @ICONSIAM</t>
        </is>
      </c>
      <c r="E148" s="76" t="n">
        <v>13.7264</v>
      </c>
      <c r="F148" s="76" t="n">
        <v>100.51054</v>
      </c>
      <c r="G148" s="76" t="n">
        <v>0.02</v>
      </c>
      <c r="H148" s="76" t="inlineStr">
        <is>
          <t>ชั้น 4 ICON EATS ICONSIAM 299 ถ.เจริญนคร</t>
        </is>
      </c>
      <c r="I148" s="76" t="inlineStr">
        <is>
          <t>ทุกวัน 10:00-22:00 (เสาร์)</t>
        </is>
      </c>
      <c r="J148" s="76" t="inlineStr">
        <is>
          <t>-</t>
        </is>
      </c>
      <c r="K148" s="77" t="inlineStr">
        <is>
          <t>https://www.google.com/maps/search/?api=1&amp;query_place_id=ChIJnfb7n3-Z4jARskUzQn4aM7w</t>
        </is>
      </c>
      <c r="L148" s="76" t="inlineStr">
        <is>
          <t>เปิดให้บริการ (มีเวลาทำการใน Google Maps)</t>
        </is>
      </c>
    </row>
    <row r="149">
      <c r="A149" s="78" t="n">
        <v>148</v>
      </c>
      <c r="B149" s="78" t="inlineStr">
        <is>
          <t>ไอคอนสยาม</t>
        </is>
      </c>
      <c r="C149" s="78" t="inlineStr">
        <is>
          <t>ร้านเครื่องดื่ม</t>
        </is>
      </c>
      <c r="D149" s="78" t="inlineStr">
        <is>
          <t>Bacha Coffee ICONSIAM</t>
        </is>
      </c>
      <c r="E149" s="78" t="n">
        <v>13.7267</v>
      </c>
      <c r="F149" s="78" t="n">
        <v>100.51086</v>
      </c>
      <c r="G149" s="78" t="n">
        <v>0.07000000000000001</v>
      </c>
      <c r="H149" s="78" t="inlineStr">
        <is>
          <t>ชั้น G ห้อง LG04/1 ICONSIAM 299 ถ.เจริญนคร</t>
        </is>
      </c>
      <c r="I149" s="78" t="inlineStr">
        <is>
          <t>ทุกวัน 10:00-22:00 (เสาร์)</t>
        </is>
      </c>
      <c r="J149" s="78" t="inlineStr">
        <is>
          <t>+66 95 716 9998</t>
        </is>
      </c>
      <c r="K149" s="79" t="inlineStr">
        <is>
          <t>https://www.google.com/maps/search/?api=1&amp;query_place_id=ChIJfQiAmQuZ4jARG4upB3CnuHs</t>
        </is>
      </c>
      <c r="L149" s="78" t="inlineStr">
        <is>
          <t>เปิดให้บริการ (มีเวลาทำการใน Google Maps)</t>
        </is>
      </c>
    </row>
    <row r="150">
      <c r="A150" s="76" t="n">
        <v>149</v>
      </c>
      <c r="B150" s="76" t="inlineStr">
        <is>
          <t>ไอคอนสยาม</t>
        </is>
      </c>
      <c r="C150" s="76" t="inlineStr">
        <is>
          <t>ร้านเครื่องดื่ม</t>
        </is>
      </c>
      <c r="D150" s="76" t="inlineStr">
        <is>
          <t>BEANS Coffee Roaster Iconsiam</t>
        </is>
      </c>
      <c r="E150" s="76" t="n">
        <v>13.72649</v>
      </c>
      <c r="F150" s="76" t="n">
        <v>100.51107</v>
      </c>
      <c r="G150" s="76" t="n">
        <v>0.07000000000000001</v>
      </c>
      <c r="H150" s="76" t="inlineStr">
        <is>
          <t>ชั้น G โซน Veranda ICONSIAM</t>
        </is>
      </c>
      <c r="I150" s="76" t="inlineStr">
        <is>
          <t>ทุกวัน 10:00-21:00 (เสาร์)</t>
        </is>
      </c>
      <c r="J150" s="76" t="inlineStr">
        <is>
          <t>-</t>
        </is>
      </c>
      <c r="K150" s="77" t="inlineStr">
        <is>
          <t>https://www.google.com/maps/search/?api=1&amp;query_place_id=ChIJr9e7GwCZ4jARW8RMPkC8O_8</t>
        </is>
      </c>
      <c r="L150" s="76" t="inlineStr">
        <is>
          <t>เปิดให้บริการ (มีเวลาทำการใน Google Maps)</t>
        </is>
      </c>
    </row>
    <row r="151">
      <c r="A151" s="78" t="n">
        <v>150</v>
      </c>
      <c r="B151" s="78" t="inlineStr">
        <is>
          <t>ไอคอนสยาม</t>
        </is>
      </c>
      <c r="C151" s="78" t="inlineStr">
        <is>
          <t>ร้านเครื่องดื่ม</t>
        </is>
      </c>
      <c r="D151" s="78" t="inlineStr">
        <is>
          <t>SUPER MATCHA, ICONSIAM</t>
        </is>
      </c>
      <c r="E151" s="78" t="n">
        <v>13.72604</v>
      </c>
      <c r="F151" s="78" t="n">
        <v>100.51105</v>
      </c>
      <c r="G151" s="78" t="n">
        <v>0.07000000000000001</v>
      </c>
      <c r="H151" s="78" t="inlineStr">
        <is>
          <t>299 ถ.เจริญนคร ซ.เจริญนคร 5 คลองต้นไทร</t>
        </is>
      </c>
      <c r="I151" s="78" t="inlineStr">
        <is>
          <t>ทุกวัน 10:00-22:00 (เสาร์)</t>
        </is>
      </c>
      <c r="J151" s="78" t="inlineStr">
        <is>
          <t>-</t>
        </is>
      </c>
      <c r="K151" s="79" t="inlineStr">
        <is>
          <t>https://www.google.com/maps/search/?api=1&amp;query_place_id=ChIJWbSr14OZ4jARWFStrxn_4vk</t>
        </is>
      </c>
      <c r="L151" s="78" t="inlineStr">
        <is>
          <t>เปิดให้บริการ (มีเวลาทำการใน Google Maps)</t>
        </is>
      </c>
    </row>
    <row r="152">
      <c r="A152" s="76" t="n">
        <v>151</v>
      </c>
      <c r="B152" s="76" t="inlineStr">
        <is>
          <t>ไอคอนสยาม</t>
        </is>
      </c>
      <c r="C152" s="76" t="inlineStr">
        <is>
          <t>ร้านของหวาน</t>
        </is>
      </c>
      <c r="D152" s="76" t="inlineStr">
        <is>
          <t>Pang Cha (ICONSIAM)</t>
        </is>
      </c>
      <c r="E152" s="76" t="n">
        <v>13.72683</v>
      </c>
      <c r="F152" s="76" t="n">
        <v>100.5107</v>
      </c>
      <c r="G152" s="76" t="n">
        <v>0.07000000000000001</v>
      </c>
      <c r="H152" s="76" t="inlineStr">
        <is>
          <t>ชั้น G ICONSIAM 299 ซ.เจริญนคร 5</t>
        </is>
      </c>
      <c r="I152" s="76" t="inlineStr">
        <is>
          <t>ทุกวัน 10:00-22:00 (เสาร์)</t>
        </is>
      </c>
      <c r="J152" s="76" t="inlineStr">
        <is>
          <t>+66 2 288 0729</t>
        </is>
      </c>
      <c r="K152" s="77" t="inlineStr">
        <is>
          <t>https://www.google.com/maps/search/?api=1&amp;query_place_id=ChIJS5fE3mSZ4jARvDuAQM91lJ4</t>
        </is>
      </c>
      <c r="L152" s="76" t="inlineStr">
        <is>
          <t>เปิดให้บริการ (มีเวลาทำการใน Google Maps)</t>
        </is>
      </c>
    </row>
    <row r="153">
      <c r="A153" s="78" t="n">
        <v>152</v>
      </c>
      <c r="B153" s="78" t="inlineStr">
        <is>
          <t>ไอคอนสยาม</t>
        </is>
      </c>
      <c r="C153" s="78" t="inlineStr">
        <is>
          <t>ร้านของหวาน</t>
        </is>
      </c>
      <c r="D153" s="78" t="inlineStr">
        <is>
          <t>Blendies ICONSIAM</t>
        </is>
      </c>
      <c r="E153" s="78" t="n">
        <v>13.72682</v>
      </c>
      <c r="F153" s="78" t="n">
        <v>100.51093</v>
      </c>
      <c r="G153" s="78" t="n">
        <v>0.08</v>
      </c>
      <c r="H153" s="78" t="inlineStr">
        <is>
          <t>ถ.เจริญนคร คลองต้นไทร</t>
        </is>
      </c>
      <c r="I153" s="78" t="inlineStr">
        <is>
          <t>ทุกวัน 10:00-22:00 (เสาร์)</t>
        </is>
      </c>
      <c r="J153" s="78" t="inlineStr">
        <is>
          <t>+66 93 665 9295</t>
        </is>
      </c>
      <c r="K153" s="79" t="inlineStr">
        <is>
          <t>https://www.google.com/maps/search/?api=1&amp;query_place_id=ChIJhw6JOgCZ4jARlH9MIGH7vvc</t>
        </is>
      </c>
      <c r="L153" s="78" t="inlineStr">
        <is>
          <t>เปิดให้บริการ (มีเวลาทำการใน Google Maps)</t>
        </is>
      </c>
    </row>
    <row r="154">
      <c r="A154" s="76" t="n">
        <v>153</v>
      </c>
      <c r="B154" s="76" t="inlineStr">
        <is>
          <t>ไอคอนสยาม</t>
        </is>
      </c>
      <c r="C154" s="76" t="inlineStr">
        <is>
          <t>ร้านของหวาน</t>
        </is>
      </c>
      <c r="D154" s="76" t="inlineStr">
        <is>
          <t>Chamin Cookies &amp; Gelato - ICONSIAM</t>
        </is>
      </c>
      <c r="E154" s="76" t="n">
        <v>13.72622</v>
      </c>
      <c r="F154" s="76" t="n">
        <v>100.51063</v>
      </c>
      <c r="G154" s="76" t="n">
        <v>0.02</v>
      </c>
      <c r="H154" s="76" t="inlineStr">
        <is>
          <t>ชั้น 6 ICONSIAM 299 ถ.เจริญนคร</t>
        </is>
      </c>
      <c r="I154" s="76" t="inlineStr">
        <is>
          <t>ทุกวัน 10:00-22:00 (เสาร์)</t>
        </is>
      </c>
      <c r="J154" s="76" t="inlineStr">
        <is>
          <t>+66 63 240 7425</t>
        </is>
      </c>
      <c r="K154" s="77" t="inlineStr">
        <is>
          <t>https://www.google.com/maps/search/?api=1&amp;query_place_id=ChIJ8UUwugyZ4jARGNjrh6ZjoPo</t>
        </is>
      </c>
      <c r="L154" s="76" t="inlineStr">
        <is>
          <t>เปิดให้บริการ (มีเวลาทำการใน Google Maps)</t>
        </is>
      </c>
    </row>
    <row r="155">
      <c r="A155" s="78" t="n">
        <v>154</v>
      </c>
      <c r="B155" s="78" t="inlineStr">
        <is>
          <t>สวนสยาม (Siam Amazing Park)</t>
        </is>
      </c>
      <c r="C155" s="78" t="inlineStr">
        <is>
          <t>ร้านอาหาร</t>
        </is>
      </c>
      <c r="D155" s="78" t="inlineStr">
        <is>
          <t>สามเวลา สวนสยาม ซอย 11</t>
        </is>
      </c>
      <c r="E155" s="78" t="n">
        <v>13.8004898</v>
      </c>
      <c r="F155" s="78" t="n">
        <v>100.690777</v>
      </c>
      <c r="G155" s="78" t="n">
        <v>0.67</v>
      </c>
      <c r="H155" s="78" t="inlineStr">
        <is>
          <t>219 ซ.สวนสยาม 11 คันนายาว</t>
        </is>
      </c>
      <c r="I155" s="78" t="inlineStr">
        <is>
          <t>ทุกวัน 10:30-19:00</t>
        </is>
      </c>
      <c r="J155" s="78" t="inlineStr">
        <is>
          <t>-</t>
        </is>
      </c>
      <c r="K155" s="79" t="inlineStr">
        <is>
          <t>https://www.google.com/maps/search/?api=1&amp;query_place_id=ChIJE9uBwv1jHTER8_5buwDwWHs</t>
        </is>
      </c>
      <c r="L155" s="78" t="inlineStr">
        <is>
          <t>เปิดให้บริการ (มีเวลาทำการใน Google Maps)</t>
        </is>
      </c>
    </row>
    <row r="156">
      <c r="A156" s="76" t="n">
        <v>155</v>
      </c>
      <c r="B156" s="76" t="inlineStr">
        <is>
          <t>สวนสยาม (Siam Amazing Park)</t>
        </is>
      </c>
      <c r="C156" s="76" t="inlineStr">
        <is>
          <t>ร้านอาหาร</t>
        </is>
      </c>
      <c r="D156" s="76" t="inlineStr">
        <is>
          <t>อีสานบ้านเฮา ร้านลาบอุบล ตลาดสวนสยาม</t>
        </is>
      </c>
      <c r="E156" s="76" t="n">
        <v>13.8085449</v>
      </c>
      <c r="F156" s="76" t="n">
        <v>100.6902939</v>
      </c>
      <c r="G156" s="76" t="n">
        <v>0.35</v>
      </c>
      <c r="H156" s="76" t="inlineStr">
        <is>
          <t>202 ถ.สวนสยาม คันนายาว</t>
        </is>
      </c>
      <c r="I156" s="76" t="inlineStr">
        <is>
          <t>ทุกวัน 11:00-02:00</t>
        </is>
      </c>
      <c r="J156" s="76" t="inlineStr">
        <is>
          <t>+66 63 718 6886</t>
        </is>
      </c>
      <c r="K156" s="77" t="inlineStr">
        <is>
          <t>https://www.google.com/maps/search/?api=1&amp;query_place_id=ChIJ_-2l4DVjHTERLl5lhoRTCpI</t>
        </is>
      </c>
      <c r="L156" s="76" t="inlineStr">
        <is>
          <t>เปิดให้บริการ (มีเวลาทำการใน Google Maps)</t>
        </is>
      </c>
    </row>
    <row r="157">
      <c r="A157" s="78" t="n">
        <v>156</v>
      </c>
      <c r="B157" s="78" t="inlineStr">
        <is>
          <t>สวนสยาม (Siam Amazing Park)</t>
        </is>
      </c>
      <c r="C157" s="78" t="inlineStr">
        <is>
          <t>ร้านอาหาร</t>
        </is>
      </c>
      <c r="D157" s="78" t="inlineStr">
        <is>
          <t>ข้าวต้มบาทเดียว</t>
        </is>
      </c>
      <c r="E157" s="78" t="n">
        <v>13.8023957</v>
      </c>
      <c r="F157" s="78" t="n">
        <v>100.690894</v>
      </c>
      <c r="G157" s="78" t="n">
        <v>0.47</v>
      </c>
      <c r="H157" s="78" t="inlineStr">
        <is>
          <t>ถ.สวนสยาม คันนายาว</t>
        </is>
      </c>
      <c r="I157" s="78" t="inlineStr">
        <is>
          <t>ทุกวัน 14:30-23:30</t>
        </is>
      </c>
      <c r="J157" s="78" t="inlineStr">
        <is>
          <t>+66 65 093 6323</t>
        </is>
      </c>
      <c r="K157" s="79" t="inlineStr">
        <is>
          <t>https://www.google.com/maps/search/?api=1&amp;query_place_id=ChIJHfN-m5ZjHTERV2CZHsShc6Y</t>
        </is>
      </c>
      <c r="L157" s="78" t="inlineStr">
        <is>
          <t>เปิดให้บริการ (มีเวลาทำการใน Google Maps)</t>
        </is>
      </c>
    </row>
    <row r="158">
      <c r="A158" s="76" t="n">
        <v>157</v>
      </c>
      <c r="B158" s="76" t="inlineStr">
        <is>
          <t>สวนสยาม (Siam Amazing Park)</t>
        </is>
      </c>
      <c r="C158" s="76" t="inlineStr">
        <is>
          <t>ร้านเครื่องดื่ม</t>
        </is>
      </c>
      <c r="D158" s="76" t="inlineStr">
        <is>
          <t>deed caffe - Coffee &amp; Roaster</t>
        </is>
      </c>
      <c r="E158" s="76" t="n">
        <v>13.8005364</v>
      </c>
      <c r="F158" s="76" t="n">
        <v>100.6912969</v>
      </c>
      <c r="G158" s="76" t="n">
        <v>0.65</v>
      </c>
      <c r="H158" s="76" t="inlineStr">
        <is>
          <t>8/28 ซ.สวนสยาม 11 แยก 2 คันนายาว</t>
        </is>
      </c>
      <c r="I158" s="76" t="inlineStr">
        <is>
          <t>ทุกวัน 07:00-17:00</t>
        </is>
      </c>
      <c r="J158" s="76" t="inlineStr">
        <is>
          <t>+66 88 155 6165</t>
        </is>
      </c>
      <c r="K158" s="77" t="inlineStr">
        <is>
          <t>https://www.google.com/maps/search/?api=1&amp;query_place_id=ChIJy8gKBF5jHTERXSlLPo9tn-Y</t>
        </is>
      </c>
      <c r="L158" s="76" t="inlineStr">
        <is>
          <t>เปิดให้บริการ (มีเวลาทำการใน Google Maps)</t>
        </is>
      </c>
    </row>
    <row r="159">
      <c r="A159" s="78" t="n">
        <v>158</v>
      </c>
      <c r="B159" s="78" t="inlineStr">
        <is>
          <t>สวนสยาม (Siam Amazing Park)</t>
        </is>
      </c>
      <c r="C159" s="78" t="inlineStr">
        <is>
          <t>ร้านเครื่องดื่ม</t>
        </is>
      </c>
      <c r="D159" s="78" t="inlineStr">
        <is>
          <t>Café Amazon สาขาสวนสยาม (SD3967)</t>
        </is>
      </c>
      <c r="E159" s="78" t="n">
        <v>13.806765</v>
      </c>
      <c r="F159" s="78" t="n">
        <v>100.6911805</v>
      </c>
      <c r="G159" s="78" t="n">
        <v>0.15</v>
      </c>
      <c r="H159" s="78" t="inlineStr">
        <is>
          <t>222 ถ.สวนสยาม คันนายาว</t>
        </is>
      </c>
      <c r="I159" s="78" t="inlineStr">
        <is>
          <t>ทุกวัน 06:00-17:00</t>
        </is>
      </c>
      <c r="J159" s="78" t="inlineStr">
        <is>
          <t>+66 92 719 7000</t>
        </is>
      </c>
      <c r="K159" s="79" t="inlineStr">
        <is>
          <t>https://www.google.com/maps/search/?api=1&amp;query_place_id=ChIJ8f9UwMFjHTERh5tg75kjz0w</t>
        </is>
      </c>
      <c r="L159" s="78" t="inlineStr">
        <is>
          <t>เปิดให้บริการ (มีเวลาทำการใน Google Maps)</t>
        </is>
      </c>
    </row>
    <row r="160">
      <c r="A160" s="76" t="n">
        <v>159</v>
      </c>
      <c r="B160" s="76" t="inlineStr">
        <is>
          <t>สวนสยาม (Siam Amazing Park)</t>
        </is>
      </c>
      <c r="C160" s="76" t="inlineStr">
        <is>
          <t>ร้านเครื่องดื่ม</t>
        </is>
      </c>
      <c r="D160" s="76" t="inlineStr">
        <is>
          <t>Hob &amp; Coff cafe and social bar</t>
        </is>
      </c>
      <c r="E160" s="76" t="n">
        <v>13.8005661</v>
      </c>
      <c r="F160" s="76" t="n">
        <v>100.6906183</v>
      </c>
      <c r="G160" s="76" t="n">
        <v>0.67</v>
      </c>
      <c r="H160" s="76" t="inlineStr">
        <is>
          <t>219/112/11 ถ.สวนสยาม คันนายาว</t>
        </is>
      </c>
      <c r="I160" s="76" t="inlineStr">
        <is>
          <t>จ-ส 07:00-18:00 / อา 08:00-18:00</t>
        </is>
      </c>
      <c r="J160" s="76" t="inlineStr">
        <is>
          <t>+66 95 715 2066</t>
        </is>
      </c>
      <c r="K160" s="77" t="inlineStr">
        <is>
          <t>https://www.google.com/maps/search/?api=1&amp;query_place_id=ChIJ1fzWSZRjHTERuT7w-8AlgJ0</t>
        </is>
      </c>
      <c r="L160" s="76" t="inlineStr">
        <is>
          <t>เปิดให้บริการ (มีเวลาทำการใน Google Maps)</t>
        </is>
      </c>
    </row>
    <row r="161">
      <c r="A161" s="78" t="n">
        <v>160</v>
      </c>
      <c r="B161" s="78" t="inlineStr">
        <is>
          <t>สวนสยาม (Siam Amazing Park)</t>
        </is>
      </c>
      <c r="C161" s="78" t="inlineStr">
        <is>
          <t>ร้านของหวาน</t>
        </is>
      </c>
      <c r="D161" s="78" t="inlineStr">
        <is>
          <t>TOKYO JAMMOM</t>
        </is>
      </c>
      <c r="E161" s="78" t="n">
        <v>13.8087534</v>
      </c>
      <c r="F161" s="78" t="n">
        <v>100.6901514</v>
      </c>
      <c r="G161" s="78" t="n">
        <v>0.38</v>
      </c>
      <c r="H161" s="78" t="inlineStr">
        <is>
          <t>220/2 ซ.สวนสยาม 16 คันนายาว</t>
        </is>
      </c>
      <c r="I161" s="78" t="inlineStr">
        <is>
          <t>ทุกวัน 11:30-21:30</t>
        </is>
      </c>
      <c r="J161" s="78" t="inlineStr">
        <is>
          <t>+66 96 395 0253</t>
        </is>
      </c>
      <c r="K161" s="79" t="inlineStr">
        <is>
          <t>https://www.google.com/maps/search/?api=1&amp;query_place_id=ChIJpfLDOERE-CkR9hxENA-Jewc</t>
        </is>
      </c>
      <c r="L161" s="78" t="inlineStr">
        <is>
          <t>เปิดให้บริการ (มีเวลาทำการใน Google Maps)</t>
        </is>
      </c>
    </row>
    <row r="162">
      <c r="A162" s="76" t="n">
        <v>161</v>
      </c>
      <c r="B162" s="76" t="inlineStr">
        <is>
          <t>สวนสยาม (Siam Amazing Park)</t>
        </is>
      </c>
      <c r="C162" s="76" t="inlineStr">
        <is>
          <t>ร้านของหวาน</t>
        </is>
      </c>
      <c r="D162" s="76" t="inlineStr">
        <is>
          <t>นุ้ยนมสด เครปเจ๊เพิ่ม</t>
        </is>
      </c>
      <c r="E162" s="76" t="n">
        <v>13.8111921</v>
      </c>
      <c r="F162" s="76" t="n">
        <v>100.688415</v>
      </c>
      <c r="G162" s="76" t="n">
        <v>0.7</v>
      </c>
      <c r="H162" s="76" t="inlineStr">
        <is>
          <t>112/3 ถ.สวนสยาม คันนายาว</t>
        </is>
      </c>
      <c r="I162" s="76" t="inlineStr">
        <is>
          <t>จ,พ-อา 14:00-21:00 (ศ-อา ถึง 22:00; ปิดอังคาร)</t>
        </is>
      </c>
      <c r="J162" s="76" t="inlineStr">
        <is>
          <t>+66 84 292 3995</t>
        </is>
      </c>
      <c r="K162" s="77" t="inlineStr">
        <is>
          <t>https://www.google.com/maps/search/?api=1&amp;query_place_id=ChIJCw0WjJhjHTERfWJvwcBDSS0</t>
        </is>
      </c>
      <c r="L162" s="76" t="inlineStr">
        <is>
          <t>เปิดให้บริการ (มีเวลาทำการใน Google Maps)</t>
        </is>
      </c>
    </row>
    <row r="163">
      <c r="A163" s="78" t="n">
        <v>162</v>
      </c>
      <c r="B163" s="78" t="inlineStr">
        <is>
          <t>สวนสยาม (Siam Amazing Park)</t>
        </is>
      </c>
      <c r="C163" s="78" t="inlineStr">
        <is>
          <t>ร้านของหวาน</t>
        </is>
      </c>
      <c r="D163" s="78" t="inlineStr">
        <is>
          <t>บ้านขนมไทยสยาม</t>
        </is>
      </c>
      <c r="E163" s="78" t="n">
        <v>13.8134766</v>
      </c>
      <c r="F163" s="78" t="n">
        <v>100.6859837</v>
      </c>
      <c r="G163" s="78" t="n">
        <v>1.07</v>
      </c>
      <c r="H163" s="78" t="inlineStr">
        <is>
          <t>37 ซ.สวนสยาม 3 คันนายาว</t>
        </is>
      </c>
      <c r="I163" s="78" t="inlineStr">
        <is>
          <t>พ-อา 07:30-12:00 (ปิดจันทร์-อังคาร)</t>
        </is>
      </c>
      <c r="J163" s="78" t="inlineStr">
        <is>
          <t>+66 64 308 9650</t>
        </is>
      </c>
      <c r="K163" s="79" t="inlineStr">
        <is>
          <t>https://www.google.com/maps/search/?api=1&amp;query_place_id=ChIJMecgLgBjHTERoQn0TlQeVkg</t>
        </is>
      </c>
      <c r="L163" s="78" t="inlineStr">
        <is>
          <t>เปิดให้บริการ (มีเวลาทำการใน Google Maps)</t>
        </is>
      </c>
    </row>
    <row r="164">
      <c r="A164" s="76" t="n">
        <v>163</v>
      </c>
      <c r="B164" s="76" t="inlineStr">
        <is>
          <t>สะพานพระพุทธยอดฟ้า (สะพานพุทธ)</t>
        </is>
      </c>
      <c r="C164" s="76" t="inlineStr">
        <is>
          <t>ร้านอาหาร</t>
        </is>
      </c>
      <c r="D164" s="76" t="inlineStr">
        <is>
          <t>ภู Kitchen สวนอาหารริมแม่น้ำเจ้าพระยา</t>
        </is>
      </c>
      <c r="E164" s="76" t="n">
        <v>13.73972</v>
      </c>
      <c r="F164" s="76" t="n">
        <v>100.50014</v>
      </c>
      <c r="G164" s="76" t="n">
        <v>0.28</v>
      </c>
      <c r="H164" s="76" t="inlineStr">
        <is>
          <t>2/16 ถ.จักรวรรดิ จักรวรรดิ สัมพันธวงศ์</t>
        </is>
      </c>
      <c r="I164" s="76" t="inlineStr">
        <is>
          <t>ทุกวัน 12:00-24:00 (เสาร์)</t>
        </is>
      </c>
      <c r="J164" s="76" t="inlineStr">
        <is>
          <t>+66 82 208 7556</t>
        </is>
      </c>
      <c r="K164" s="77" t="inlineStr">
        <is>
          <t>https://www.google.com/maps/search/?api=1&amp;query_place_id=ChIJKVkAhJiZ4jARNoCJrCQPoIw</t>
        </is>
      </c>
      <c r="L164" s="76" t="inlineStr">
        <is>
          <t>เปิดให้บริการ (มีเวลาทำการใน Google Maps)</t>
        </is>
      </c>
    </row>
    <row r="165">
      <c r="A165" s="78" t="n">
        <v>164</v>
      </c>
      <c r="B165" s="78" t="inlineStr">
        <is>
          <t>สะพานพระพุทธยอดฟ้า (สะพานพุทธ)</t>
        </is>
      </c>
      <c r="C165" s="78" t="inlineStr">
        <is>
          <t>ร้านอาหาร</t>
        </is>
      </c>
      <c r="D165" s="78" t="inlineStr">
        <is>
          <t>NAGIYA Yodpiman Riverwalk</t>
        </is>
      </c>
      <c r="E165" s="78" t="n">
        <v>13.74095</v>
      </c>
      <c r="F165" s="78" t="n">
        <v>100.49546</v>
      </c>
      <c r="G165" s="78" t="n">
        <v>0.3</v>
      </c>
      <c r="H165" s="78" t="inlineStr">
        <is>
          <t>390/20 ถ.บ้านหม้อ วังบูรพาภิรมย์ พระนคร</t>
        </is>
      </c>
      <c r="I165" s="78" t="inlineStr">
        <is>
          <t>อ-อา 17:00-23:00 (ปิดจันทร์)</t>
        </is>
      </c>
      <c r="J165" s="78" t="inlineStr">
        <is>
          <t>+66 80 823 7727</t>
        </is>
      </c>
      <c r="K165" s="79" t="inlineStr">
        <is>
          <t>https://www.google.com/maps/search/?api=1&amp;query_place_id=ChIJXYKPQjuZ4jARL5W1S-jf9-E</t>
        </is>
      </c>
      <c r="L165" s="78" t="inlineStr">
        <is>
          <t>เปิดให้บริการ (มีเวลาทำการใน Google Maps)</t>
        </is>
      </c>
    </row>
    <row r="166">
      <c r="A166" s="76" t="n">
        <v>165</v>
      </c>
      <c r="B166" s="76" t="inlineStr">
        <is>
          <t>สะพานพระพุทธยอดฟ้า (สะพานพุทธ)</t>
        </is>
      </c>
      <c r="C166" s="76" t="inlineStr">
        <is>
          <t>ร้านอาหาร</t>
        </is>
      </c>
      <c r="D166" s="76" t="inlineStr">
        <is>
          <t>BBQ RoofTop River View</t>
        </is>
      </c>
      <c r="E166" s="76" t="n">
        <v>13.7397</v>
      </c>
      <c r="F166" s="76" t="n">
        <v>100.50014</v>
      </c>
      <c r="G166" s="76" t="n">
        <v>0.28</v>
      </c>
      <c r="H166" s="76" t="inlineStr">
        <is>
          <t>216 ถ.ทรงวาด จักรวรรดิ สัมพันธวงศ์</t>
        </is>
      </c>
      <c r="I166" s="76" t="inlineStr">
        <is>
          <t>ทุกวัน 15:00-24:00 (เสาร์)</t>
        </is>
      </c>
      <c r="J166" s="76" t="inlineStr">
        <is>
          <t>+66 92 789 9545</t>
        </is>
      </c>
      <c r="K166" s="77" t="inlineStr">
        <is>
          <t>https://www.google.com/maps/search/?api=1&amp;query_place_id=ChIJPWb36AyZ4jAR98-qaNJ4giA</t>
        </is>
      </c>
      <c r="L166" s="76" t="inlineStr">
        <is>
          <t>เปิดให้บริการ (มีเวลาทำการใน Google Maps)</t>
        </is>
      </c>
    </row>
    <row r="167">
      <c r="A167" s="78" t="n">
        <v>166</v>
      </c>
      <c r="B167" s="78" t="inlineStr">
        <is>
          <t>สะพานพระพุทธยอดฟ้า (สะพานพุทธ)</t>
        </is>
      </c>
      <c r="C167" s="78" t="inlineStr">
        <is>
          <t>ร้านเครื่องดื่ม</t>
        </is>
      </c>
      <c r="D167" s="78" t="inlineStr">
        <is>
          <t>5 a.m.</t>
        </is>
      </c>
      <c r="E167" s="78" t="n">
        <v>13.74457</v>
      </c>
      <c r="F167" s="78" t="n">
        <v>100.49726</v>
      </c>
      <c r="G167" s="78" t="n">
        <v>0.59</v>
      </c>
      <c r="H167" s="78" t="inlineStr">
        <is>
          <t>212 ถ.บ้านหม้อ วังบูรพาภิรมย์ พระนคร</t>
        </is>
      </c>
      <c r="I167" s="78" t="inlineStr">
        <is>
          <t>อ-อา 09:00-21:00 (ปิดจันทร์)</t>
        </is>
      </c>
      <c r="J167" s="78" t="inlineStr">
        <is>
          <t>+66 64 642 6615</t>
        </is>
      </c>
      <c r="K167" s="79" t="inlineStr">
        <is>
          <t>https://www.google.com/maps/search/?api=1&amp;query_place_id=ChIJN2VoTo6Z4jARGJKu76SI8dE</t>
        </is>
      </c>
      <c r="L167" s="78" t="inlineStr">
        <is>
          <t>เปิดให้บริการ (มีเวลาทำการใน Google Maps)</t>
        </is>
      </c>
    </row>
    <row r="168">
      <c r="A168" s="76" t="n">
        <v>167</v>
      </c>
      <c r="B168" s="76" t="inlineStr">
        <is>
          <t>สะพานพระพุทธยอดฟ้า (สะพานพุทธ)</t>
        </is>
      </c>
      <c r="C168" s="76" t="inlineStr">
        <is>
          <t>ร้านเครื่องดื่ม</t>
        </is>
      </c>
      <c r="D168" s="76" t="inlineStr">
        <is>
          <t>Floral Café at Napasorn</t>
        </is>
      </c>
      <c r="E168" s="76" t="n">
        <v>13.74229</v>
      </c>
      <c r="F168" s="76" t="n">
        <v>100.49671</v>
      </c>
      <c r="G168" s="76" t="n">
        <v>0.35</v>
      </c>
      <c r="H168" s="76" t="inlineStr">
        <is>
          <t>67 ถ.จักรเพชร วังบูรพาภิรมย์ พระนคร</t>
        </is>
      </c>
      <c r="I168" s="76" t="inlineStr">
        <is>
          <t>ทุกวัน 09:00-19:00 (เสาร์)</t>
        </is>
      </c>
      <c r="J168" s="76" t="inlineStr">
        <is>
          <t>+66 99 468 4899</t>
        </is>
      </c>
      <c r="K168" s="77" t="inlineStr">
        <is>
          <t>https://www.google.com/maps/search/?api=1&amp;query_place_id=ChIJr0_8WhuZ4jARkLSG8nhL7n8</t>
        </is>
      </c>
      <c r="L168" s="76" t="inlineStr">
        <is>
          <t>เปิดให้บริการ (มีเวลาทำการใน Google Maps)</t>
        </is>
      </c>
    </row>
    <row r="169">
      <c r="A169" s="78" t="n">
        <v>168</v>
      </c>
      <c r="B169" s="78" t="inlineStr">
        <is>
          <t>สะพานพระพุทธยอดฟ้า (สะพานพุทธ)</t>
        </is>
      </c>
      <c r="C169" s="78" t="inlineStr">
        <is>
          <t>ร้านเครื่องดื่ม</t>
        </is>
      </c>
      <c r="D169" s="78" t="inlineStr">
        <is>
          <t>Farm to Table, Organic Cafe</t>
        </is>
      </c>
      <c r="E169" s="78" t="n">
        <v>13.74359</v>
      </c>
      <c r="F169" s="78" t="n">
        <v>100.49617</v>
      </c>
      <c r="G169" s="78" t="n">
        <v>0.5</v>
      </c>
      <c r="H169" s="78" t="inlineStr">
        <is>
          <t>179 ถ.อัษฎางค์ วังบูรพาภิรมย์ พระนคร</t>
        </is>
      </c>
      <c r="I169" s="78" t="inlineStr">
        <is>
          <t>ทุกวัน 09:00-19:00 (ปิดพุธ)</t>
        </is>
      </c>
      <c r="J169" s="78" t="inlineStr">
        <is>
          <t>+66 2 115 2625</t>
        </is>
      </c>
      <c r="K169" s="79" t="inlineStr">
        <is>
          <t>https://www.google.com/maps/search/?api=1&amp;query_place_id=ChIJQ5mJMxuZ4jARTE2Xh-_eRhU</t>
        </is>
      </c>
      <c r="L169" s="78" t="inlineStr">
        <is>
          <t>เปิดให้บริการ (มีเวลาทำการใน Google Maps)</t>
        </is>
      </c>
    </row>
    <row r="170">
      <c r="A170" s="76" t="n">
        <v>169</v>
      </c>
      <c r="B170" s="76" t="inlineStr">
        <is>
          <t>สะพานพระพุทธยอดฟ้า (สะพานพุทธ)</t>
        </is>
      </c>
      <c r="C170" s="76" t="inlineStr">
        <is>
          <t>ร้านของหวาน</t>
        </is>
      </c>
      <c r="D170" s="76" t="inlineStr">
        <is>
          <t>FARM to TABLE, Hideout</t>
        </is>
      </c>
      <c r="E170" s="76" t="n">
        <v>13.7437</v>
      </c>
      <c r="F170" s="76" t="n">
        <v>100.4969</v>
      </c>
      <c r="G170" s="76" t="n">
        <v>0.5</v>
      </c>
      <c r="H170" s="76" t="inlineStr">
        <is>
          <t>15 ซ.ท่ากลาง วังบูรพาภิรมย์ พระนคร</t>
        </is>
      </c>
      <c r="I170" s="76" t="inlineStr">
        <is>
          <t>ทุกวัน 09:00-19:00 (ปิดพุธ)</t>
        </is>
      </c>
      <c r="J170" s="76" t="inlineStr">
        <is>
          <t>+66 2 004 8771</t>
        </is>
      </c>
      <c r="K170" s="77" t="inlineStr">
        <is>
          <t>https://www.google.com/maps/search/?api=1&amp;query_place_id=ChIJHS2FAO6Z4jARqhV0fzk_yhI</t>
        </is>
      </c>
      <c r="L170" s="76" t="inlineStr">
        <is>
          <t>เปิดให้บริการ (มีเวลาทำการใน Google Maps)</t>
        </is>
      </c>
    </row>
    <row r="171">
      <c r="A171" s="78" t="n">
        <v>170</v>
      </c>
      <c r="B171" s="78" t="inlineStr">
        <is>
          <t>สะพานพระพุทธยอดฟ้า (สะพานพุทธ)</t>
        </is>
      </c>
      <c r="C171" s="78" t="inlineStr">
        <is>
          <t>ร้านของหวาน</t>
        </is>
      </c>
      <c r="D171" s="78" t="inlineStr">
        <is>
          <t>Yai Thum Hai Laan Kai</t>
        </is>
      </c>
      <c r="E171" s="78" t="n">
        <v>13.74154</v>
      </c>
      <c r="F171" s="78" t="n">
        <v>100.49443</v>
      </c>
      <c r="G171" s="78" t="n">
        <v>0.42</v>
      </c>
      <c r="H171" s="78" t="inlineStr">
        <is>
          <t>240 ท่าเรือ ถ.อัษฎางค์ วังบูรพาภิรมย์ พระนคร</t>
        </is>
      </c>
      <c r="I171" s="78" t="inlineStr">
        <is>
          <t>อ-อา 08:00-19:00 (ปิดจันทร์)</t>
        </is>
      </c>
      <c r="J171" s="78" t="inlineStr">
        <is>
          <t>+66 92 605 9145</t>
        </is>
      </c>
      <c r="K171" s="79" t="inlineStr">
        <is>
          <t>https://www.google.com/maps/search/?api=1&amp;query_place_id=ChIJCRFd5AyZ4jAROqVIK-MGKJo</t>
        </is>
      </c>
      <c r="L171" s="78" t="inlineStr">
        <is>
          <t>เปิดให้บริการ (มีเวลาทำการใน Google Maps)</t>
        </is>
      </c>
    </row>
    <row r="172">
      <c r="A172" s="76" t="n">
        <v>171</v>
      </c>
      <c r="B172" s="76" t="inlineStr">
        <is>
          <t>สะพานพระพุทธยอดฟ้า (สะพานพุทธ)</t>
        </is>
      </c>
      <c r="C172" s="76" t="inlineStr">
        <is>
          <t>ร้านของหวาน</t>
        </is>
      </c>
      <c r="D172" s="76" t="inlineStr">
        <is>
          <t>Mi Thai Dessert</t>
        </is>
      </c>
      <c r="E172" s="76" t="n">
        <v>13.7392138</v>
      </c>
      <c r="F172" s="76" t="n">
        <v>100.5067042</v>
      </c>
      <c r="G172" s="76" t="n">
        <v>0.98</v>
      </c>
      <c r="H172" s="76" t="inlineStr">
        <is>
          <t>538 ตรอกโรงโคม สัมพันธวงศ์ (ติดโรงเรียนเผยอิง)</t>
        </is>
      </c>
      <c r="I172" s="76" t="inlineStr">
        <is>
          <t>ทุกวัน 10:00-19:00</t>
        </is>
      </c>
      <c r="J172" s="76" t="inlineStr">
        <is>
          <t>+66 95 818 2919</t>
        </is>
      </c>
      <c r="K172" s="77" t="inlineStr">
        <is>
          <t>https://www.google.com/maps/search/?api=1&amp;query_place_id=ChIJg4vvVgCZ4jARZMzIP6_hBP0</t>
        </is>
      </c>
      <c r="L172" s="76" t="inlineStr">
        <is>
          <t>เปิดให้บริการ (มีเวลาทำการใน Google Maps)</t>
        </is>
      </c>
    </row>
  </sheetData>
  <autoFilter ref="A1:L17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CA3AF"/>
    <outlinePr summaryBelow="1" summaryRight="1"/>
    <pageSetUpPr/>
  </sheetPr>
  <dimension ref="A1:H2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30" customHeight="1">
      <c r="A1" s="75" t="inlineStr">
        <is>
          <t>ลำดับ</t>
        </is>
      </c>
      <c r="B1" s="75" t="inlineStr">
        <is>
          <t>แหล่งท่องเที่ยว</t>
        </is>
      </c>
      <c r="C1" s="75" t="inlineStr">
        <is>
          <t>ละติจูด</t>
        </is>
      </c>
      <c r="D1" s="75" t="inlineStr">
        <is>
          <t>ลองจิจูด</t>
        </is>
      </c>
      <c r="E1" s="75" t="inlineStr">
        <is>
          <t>ร้านอาหาร</t>
        </is>
      </c>
      <c r="F1" s="75" t="inlineStr">
        <is>
          <t>ร้านเครื่องดื่ม</t>
        </is>
      </c>
      <c r="G1" s="75" t="inlineStr">
        <is>
          <t>ร้านของหวาน</t>
        </is>
      </c>
      <c r="H1" s="75" t="inlineStr">
        <is>
          <t>รวม</t>
        </is>
      </c>
    </row>
    <row r="2">
      <c r="A2" s="76" t="n">
        <v>1</v>
      </c>
      <c r="B2" s="76" t="inlineStr">
        <is>
          <t>SkyWalk King Power Mahanakhon (คิงเพาเวอร์ มหานคร)</t>
        </is>
      </c>
      <c r="C2" s="76" t="n">
        <v>13.72401</v>
      </c>
      <c r="D2" s="76" t="n">
        <v>100.52848</v>
      </c>
      <c r="E2" s="76">
        <f>COUNTIFS('ต้นฉบับ_ร้าน'!$B:$B,$B2,'ต้นฉบับ_ร้าน'!$C:$C,E$1)</f>
        <v/>
      </c>
      <c r="F2" s="76">
        <f>COUNTIFS('ต้นฉบับ_ร้าน'!$B:$B,$B2,'ต้นฉบับ_ร้าน'!$C:$C,F$1)</f>
        <v/>
      </c>
      <c r="G2" s="76">
        <f>COUNTIFS('ต้นฉบับ_ร้าน'!$B:$B,$B2,'ต้นฉบับ_ร้าน'!$C:$C,G$1)</f>
        <v/>
      </c>
      <c r="H2" s="76">
        <f>SUM(E2:G2)</f>
        <v/>
      </c>
    </row>
    <row r="3">
      <c r="A3" s="78" t="n">
        <v>2</v>
      </c>
      <c r="B3" s="78" t="inlineStr">
        <is>
          <t>วัดพระศรีรัตนศาสดาราม (วัดพระแก้ว)</t>
        </is>
      </c>
      <c r="C3" s="78" t="n">
        <v>13.7515</v>
      </c>
      <c r="D3" s="78" t="n">
        <v>100.4927</v>
      </c>
      <c r="E3" s="78">
        <f>COUNTIFS('ต้นฉบับ_ร้าน'!$B:$B,$B3,'ต้นฉบับ_ร้าน'!$C:$C,E$1)</f>
        <v/>
      </c>
      <c r="F3" s="78">
        <f>COUNTIFS('ต้นฉบับ_ร้าน'!$B:$B,$B3,'ต้นฉบับ_ร้าน'!$C:$C,F$1)</f>
        <v/>
      </c>
      <c r="G3" s="78">
        <f>COUNTIFS('ต้นฉบับ_ร้าน'!$B:$B,$B3,'ต้นฉบับ_ร้าน'!$C:$C,G$1)</f>
        <v/>
      </c>
      <c r="H3" s="78">
        <f>SUM(E3:G3)</f>
        <v/>
      </c>
    </row>
    <row r="4">
      <c r="A4" s="76" t="n">
        <v>3</v>
      </c>
      <c r="B4" s="76" t="inlineStr">
        <is>
          <t>วัดพระเชตุพนวิมลมังคลาราม (วัดโพธิ์)</t>
        </is>
      </c>
      <c r="C4" s="76" t="n">
        <v>13.74642</v>
      </c>
      <c r="D4" s="76" t="n">
        <v>100.49277</v>
      </c>
      <c r="E4" s="76">
        <f>COUNTIFS('ต้นฉบับ_ร้าน'!$B:$B,$B4,'ต้นฉบับ_ร้าน'!$C:$C,E$1)</f>
        <v/>
      </c>
      <c r="F4" s="76">
        <f>COUNTIFS('ต้นฉบับ_ร้าน'!$B:$B,$B4,'ต้นฉบับ_ร้าน'!$C:$C,F$1)</f>
        <v/>
      </c>
      <c r="G4" s="76">
        <f>COUNTIFS('ต้นฉบับ_ร้าน'!$B:$B,$B4,'ต้นฉบับ_ร้าน'!$C:$C,G$1)</f>
        <v/>
      </c>
      <c r="H4" s="76">
        <f>SUM(E4:G4)</f>
        <v/>
      </c>
    </row>
    <row r="5">
      <c r="A5" s="78" t="n">
        <v>4</v>
      </c>
      <c r="B5" s="78" t="inlineStr">
        <is>
          <t>วัดอรุณราชวรารามราชวรมหาวิหาร</t>
        </is>
      </c>
      <c r="C5" s="78" t="n">
        <v>13.74387</v>
      </c>
      <c r="D5" s="78" t="n">
        <v>100.48844</v>
      </c>
      <c r="E5" s="78">
        <f>COUNTIFS('ต้นฉบับ_ร้าน'!$B:$B,$B5,'ต้นฉบับ_ร้าน'!$C:$C,E$1)</f>
        <v/>
      </c>
      <c r="F5" s="78">
        <f>COUNTIFS('ต้นฉบับ_ร้าน'!$B:$B,$B5,'ต้นฉบับ_ร้าน'!$C:$C,F$1)</f>
        <v/>
      </c>
      <c r="G5" s="78">
        <f>COUNTIFS('ต้นฉบับ_ร้าน'!$B:$B,$B5,'ต้นฉบับ_ร้าน'!$C:$C,G$1)</f>
        <v/>
      </c>
      <c r="H5" s="78">
        <f>SUM(E5:G5)</f>
        <v/>
      </c>
    </row>
    <row r="6">
      <c r="A6" s="76" t="n">
        <v>5</v>
      </c>
      <c r="B6" s="76" t="inlineStr">
        <is>
          <t>วัดปากน้ำภาษีเจริญ</t>
        </is>
      </c>
      <c r="C6" s="76" t="n">
        <v>13.72178</v>
      </c>
      <c r="D6" s="76" t="n">
        <v>100.47036</v>
      </c>
      <c r="E6" s="76">
        <f>COUNTIFS('ต้นฉบับ_ร้าน'!$B:$B,$B6,'ต้นฉบับ_ร้าน'!$C:$C,E$1)</f>
        <v/>
      </c>
      <c r="F6" s="76">
        <f>COUNTIFS('ต้นฉบับ_ร้าน'!$B:$B,$B6,'ต้นฉบับ_ร้าน'!$C:$C,F$1)</f>
        <v/>
      </c>
      <c r="G6" s="76">
        <f>COUNTIFS('ต้นฉบับ_ร้าน'!$B:$B,$B6,'ต้นฉบับ_ร้าน'!$C:$C,G$1)</f>
        <v/>
      </c>
      <c r="H6" s="76">
        <f>SUM(E6:G6)</f>
        <v/>
      </c>
    </row>
    <row r="7">
      <c r="A7" s="78" t="n">
        <v>6</v>
      </c>
      <c r="B7" s="78" t="inlineStr">
        <is>
          <t>บรรทัดทอง (ถ.บรรทัดทอง)</t>
        </is>
      </c>
      <c r="C7" s="78" t="n">
        <v>13.7392</v>
      </c>
      <c r="D7" s="78" t="n">
        <v>100.5243</v>
      </c>
      <c r="E7" s="78">
        <f>COUNTIFS('ต้นฉบับ_ร้าน'!$B:$B,$B7,'ต้นฉบับ_ร้าน'!$C:$C,E$1)</f>
        <v/>
      </c>
      <c r="F7" s="78">
        <f>COUNTIFS('ต้นฉบับ_ร้าน'!$B:$B,$B7,'ต้นฉบับ_ร้าน'!$C:$C,F$1)</f>
        <v/>
      </c>
      <c r="G7" s="78">
        <f>COUNTIFS('ต้นฉบับ_ร้าน'!$B:$B,$B7,'ต้นฉบับ_ร้าน'!$C:$C,G$1)</f>
        <v/>
      </c>
      <c r="H7" s="78">
        <f>SUM(E7:G7)</f>
        <v/>
      </c>
    </row>
    <row r="8">
      <c r="A8" s="76" t="n">
        <v>7</v>
      </c>
      <c r="B8" s="76" t="inlineStr">
        <is>
          <t>เยาวราช</t>
        </is>
      </c>
      <c r="C8" s="76" t="n">
        <v>13.7397</v>
      </c>
      <c r="D8" s="76" t="n">
        <v>100.5099</v>
      </c>
      <c r="E8" s="76">
        <f>COUNTIFS('ต้นฉบับ_ร้าน'!$B:$B,$B8,'ต้นฉบับ_ร้าน'!$C:$C,E$1)</f>
        <v/>
      </c>
      <c r="F8" s="76">
        <f>COUNTIFS('ต้นฉบับ_ร้าน'!$B:$B,$B8,'ต้นฉบับ_ร้าน'!$C:$C,F$1)</f>
        <v/>
      </c>
      <c r="G8" s="76">
        <f>COUNTIFS('ต้นฉบับ_ร้าน'!$B:$B,$B8,'ต้นฉบับ_ร้าน'!$C:$C,G$1)</f>
        <v/>
      </c>
      <c r="H8" s="76">
        <f>SUM(E8:G8)</f>
        <v/>
      </c>
    </row>
    <row r="9">
      <c r="A9" s="78" t="n">
        <v>8</v>
      </c>
      <c r="B9" s="78" t="inlineStr">
        <is>
          <t>คลองบางหลวง (Artist House / ตลาดน้ำคลองบางหลวง ภาษีเจริญ)</t>
        </is>
      </c>
      <c r="C9" s="78" t="n">
        <v>13.7312</v>
      </c>
      <c r="D9" s="78" t="n">
        <v>100.4633</v>
      </c>
      <c r="E9" s="78">
        <f>COUNTIFS('ต้นฉบับ_ร้าน'!$B:$B,$B9,'ต้นฉบับ_ร้าน'!$C:$C,E$1)</f>
        <v/>
      </c>
      <c r="F9" s="78">
        <f>COUNTIFS('ต้นฉบับ_ร้าน'!$B:$B,$B9,'ต้นฉบับ_ร้าน'!$C:$C,F$1)</f>
        <v/>
      </c>
      <c r="G9" s="78">
        <f>COUNTIFS('ต้นฉบับ_ร้าน'!$B:$B,$B9,'ต้นฉบับ_ร้าน'!$C:$C,G$1)</f>
        <v/>
      </c>
      <c r="H9" s="78">
        <f>SUM(E9:G9)</f>
        <v/>
      </c>
    </row>
    <row r="10">
      <c r="A10" s="76" t="n">
        <v>9</v>
      </c>
      <c r="B10" s="76" t="inlineStr">
        <is>
          <t>ย่านพระอาทิตย์ (ถ.พระอาทิตย์ บางลำพู)</t>
        </is>
      </c>
      <c r="C10" s="76" t="n">
        <v>13.7632</v>
      </c>
      <c r="D10" s="76" t="n">
        <v>100.4945</v>
      </c>
      <c r="E10" s="76">
        <f>COUNTIFS('ต้นฉบับ_ร้าน'!$B:$B,$B10,'ต้นฉบับ_ร้าน'!$C:$C,E$1)</f>
        <v/>
      </c>
      <c r="F10" s="76">
        <f>COUNTIFS('ต้นฉบับ_ร้าน'!$B:$B,$B10,'ต้นฉบับ_ร้าน'!$C:$C,F$1)</f>
        <v/>
      </c>
      <c r="G10" s="76">
        <f>COUNTIFS('ต้นฉบับ_ร้าน'!$B:$B,$B10,'ต้นฉบับ_ร้าน'!$C:$C,G$1)</f>
        <v/>
      </c>
      <c r="H10" s="76">
        <f>SUM(E10:G10)</f>
        <v/>
      </c>
    </row>
    <row r="11">
      <c r="A11" s="78" t="n">
        <v>10</v>
      </c>
      <c r="B11" s="78" t="inlineStr">
        <is>
          <t>หอศิลปวัฒนธรรมแห่งกรุงเทพมหานคร (BACC)</t>
        </is>
      </c>
      <c r="C11" s="78" t="n">
        <v>13.74673</v>
      </c>
      <c r="D11" s="78" t="n">
        <v>100.53022</v>
      </c>
      <c r="E11" s="78">
        <f>COUNTIFS('ต้นฉบับ_ร้าน'!$B:$B,$B11,'ต้นฉบับ_ร้าน'!$C:$C,E$1)</f>
        <v/>
      </c>
      <c r="F11" s="78">
        <f>COUNTIFS('ต้นฉบับ_ร้าน'!$B:$B,$B11,'ต้นฉบับ_ร้าน'!$C:$C,F$1)</f>
        <v/>
      </c>
      <c r="G11" s="78">
        <f>COUNTIFS('ต้นฉบับ_ร้าน'!$B:$B,$B11,'ต้นฉบับ_ร้าน'!$C:$C,G$1)</f>
        <v/>
      </c>
      <c r="H11" s="78">
        <f>SUM(E11:G11)</f>
        <v/>
      </c>
    </row>
    <row r="12">
      <c r="A12" s="76" t="n">
        <v>11</v>
      </c>
      <c r="B12" s="76" t="inlineStr">
        <is>
          <t>Asiatique The Riverfront</t>
        </is>
      </c>
      <c r="C12" s="76" t="n">
        <v>13.70442</v>
      </c>
      <c r="D12" s="76" t="n">
        <v>100.50327</v>
      </c>
      <c r="E12" s="76">
        <f>COUNTIFS('ต้นฉบับ_ร้าน'!$B:$B,$B12,'ต้นฉบับ_ร้าน'!$C:$C,E$1)</f>
        <v/>
      </c>
      <c r="F12" s="76">
        <f>COUNTIFS('ต้นฉบับ_ร้าน'!$B:$B,$B12,'ต้นฉบับ_ร้าน'!$C:$C,F$1)</f>
        <v/>
      </c>
      <c r="G12" s="76">
        <f>COUNTIFS('ต้นฉบับ_ร้าน'!$B:$B,$B12,'ต้นฉบับ_ร้าน'!$C:$C,G$1)</f>
        <v/>
      </c>
      <c r="H12" s="76">
        <f>SUM(E12:G12)</f>
        <v/>
      </c>
    </row>
    <row r="13">
      <c r="A13" s="78" t="n">
        <v>12</v>
      </c>
      <c r="B13" s="78" t="inlineStr">
        <is>
          <t>ท้องฟ้าจำลองกรุงเทพ (เอกมัย)</t>
        </is>
      </c>
      <c r="C13" s="78" t="n">
        <v>13.71954</v>
      </c>
      <c r="D13" s="78" t="n">
        <v>100.58278</v>
      </c>
      <c r="E13" s="78">
        <f>COUNTIFS('ต้นฉบับ_ร้าน'!$B:$B,$B13,'ต้นฉบับ_ร้าน'!$C:$C,E$1)</f>
        <v/>
      </c>
      <c r="F13" s="78">
        <f>COUNTIFS('ต้นฉบับ_ร้าน'!$B:$B,$B13,'ต้นฉบับ_ร้าน'!$C:$C,F$1)</f>
        <v/>
      </c>
      <c r="G13" s="78">
        <f>COUNTIFS('ต้นฉบับ_ร้าน'!$B:$B,$B13,'ต้นฉบับ_ร้าน'!$C:$C,G$1)</f>
        <v/>
      </c>
      <c r="H13" s="78">
        <f>SUM(E13:G13)</f>
        <v/>
      </c>
    </row>
    <row r="14">
      <c r="A14" s="76" t="n">
        <v>13</v>
      </c>
      <c r="B14" s="76" t="inlineStr">
        <is>
          <t>สวนวชิรเบญจทัศ (สวนรถไฟ)</t>
        </is>
      </c>
      <c r="C14" s="76" t="n">
        <v>13.8137</v>
      </c>
      <c r="D14" s="76" t="n">
        <v>100.5536</v>
      </c>
      <c r="E14" s="76">
        <f>COUNTIFS('ต้นฉบับ_ร้าน'!$B:$B,$B14,'ต้นฉบับ_ร้าน'!$C:$C,E$1)</f>
        <v/>
      </c>
      <c r="F14" s="76">
        <f>COUNTIFS('ต้นฉบับ_ร้าน'!$B:$B,$B14,'ต้นฉบับ_ร้าน'!$C:$C,F$1)</f>
        <v/>
      </c>
      <c r="G14" s="76">
        <f>COUNTIFS('ต้นฉบับ_ร้าน'!$B:$B,$B14,'ต้นฉบับ_ร้าน'!$C:$C,G$1)</f>
        <v/>
      </c>
      <c r="H14" s="76">
        <f>SUM(E14:G14)</f>
        <v/>
      </c>
    </row>
    <row r="15">
      <c r="A15" s="78" t="n">
        <v>14</v>
      </c>
      <c r="B15" s="78" t="inlineStr">
        <is>
          <t>สวนเบญจกิติ</t>
        </is>
      </c>
      <c r="C15" s="78" t="n">
        <v>13.72923</v>
      </c>
      <c r="D15" s="78" t="n">
        <v>100.55873</v>
      </c>
      <c r="E15" s="78">
        <f>COUNTIFS('ต้นฉบับ_ร้าน'!$B:$B,$B15,'ต้นฉบับ_ร้าน'!$C:$C,E$1)</f>
        <v/>
      </c>
      <c r="F15" s="78">
        <f>COUNTIFS('ต้นฉบับ_ร้าน'!$B:$B,$B15,'ต้นฉบับ_ร้าน'!$C:$C,F$1)</f>
        <v/>
      </c>
      <c r="G15" s="78">
        <f>COUNTIFS('ต้นฉบับ_ร้าน'!$B:$B,$B15,'ต้นฉบับ_ร้าน'!$C:$C,G$1)</f>
        <v/>
      </c>
      <c r="H15" s="78">
        <f>SUM(E15:G15)</f>
        <v/>
      </c>
    </row>
    <row r="16">
      <c r="A16" s="76" t="n">
        <v>15</v>
      </c>
      <c r="B16" s="76" t="inlineStr">
        <is>
          <t>ตลาดจตุจักร</t>
        </is>
      </c>
      <c r="C16" s="76" t="n">
        <v>13.79978</v>
      </c>
      <c r="D16" s="76" t="n">
        <v>100.55042</v>
      </c>
      <c r="E16" s="76">
        <f>COUNTIFS('ต้นฉบับ_ร้าน'!$B:$B,$B16,'ต้นฉบับ_ร้าน'!$C:$C,E$1)</f>
        <v/>
      </c>
      <c r="F16" s="76">
        <f>COUNTIFS('ต้นฉบับ_ร้าน'!$B:$B,$B16,'ต้นฉบับ_ร้าน'!$C:$C,F$1)</f>
        <v/>
      </c>
      <c r="G16" s="76">
        <f>COUNTIFS('ต้นฉบับ_ร้าน'!$B:$B,$B16,'ต้นฉบับ_ร้าน'!$C:$C,G$1)</f>
        <v/>
      </c>
      <c r="H16" s="76">
        <f>SUM(E16:G16)</f>
        <v/>
      </c>
    </row>
    <row r="17">
      <c r="A17" s="78" t="n">
        <v>16</v>
      </c>
      <c r="B17" s="78" t="inlineStr">
        <is>
          <t>สยามพารากอน</t>
        </is>
      </c>
      <c r="C17" s="78" t="n">
        <v>13.74617</v>
      </c>
      <c r="D17" s="78" t="n">
        <v>100.53486</v>
      </c>
      <c r="E17" s="78">
        <f>COUNTIFS('ต้นฉบับ_ร้าน'!$B:$B,$B17,'ต้นฉบับ_ร้าน'!$C:$C,E$1)</f>
        <v/>
      </c>
      <c r="F17" s="78">
        <f>COUNTIFS('ต้นฉบับ_ร้าน'!$B:$B,$B17,'ต้นฉบับ_ร้าน'!$C:$C,F$1)</f>
        <v/>
      </c>
      <c r="G17" s="78">
        <f>COUNTIFS('ต้นฉบับ_ร้าน'!$B:$B,$B17,'ต้นฉบับ_ร้าน'!$C:$C,G$1)</f>
        <v/>
      </c>
      <c r="H17" s="78">
        <f>SUM(E17:G17)</f>
        <v/>
      </c>
    </row>
    <row r="18">
      <c r="A18" s="76" t="n">
        <v>17</v>
      </c>
      <c r="B18" s="76" t="inlineStr">
        <is>
          <t>ไอคอนสยาม</t>
        </is>
      </c>
      <c r="C18" s="76" t="n">
        <v>13.72623</v>
      </c>
      <c r="D18" s="76" t="n">
        <v>100.51045</v>
      </c>
      <c r="E18" s="76">
        <f>COUNTIFS('ต้นฉบับ_ร้าน'!$B:$B,$B18,'ต้นฉบับ_ร้าน'!$C:$C,E$1)</f>
        <v/>
      </c>
      <c r="F18" s="76">
        <f>COUNTIFS('ต้นฉบับ_ร้าน'!$B:$B,$B18,'ต้นฉบับ_ร้าน'!$C:$C,F$1)</f>
        <v/>
      </c>
      <c r="G18" s="76">
        <f>COUNTIFS('ต้นฉบับ_ร้าน'!$B:$B,$B18,'ต้นฉบับ_ร้าน'!$C:$C,G$1)</f>
        <v/>
      </c>
      <c r="H18" s="76">
        <f>SUM(E18:G18)</f>
        <v/>
      </c>
    </row>
    <row r="19">
      <c r="A19" s="78" t="n">
        <v>18</v>
      </c>
      <c r="B19" s="78" t="inlineStr">
        <is>
          <t>สวนสยาม (Siam Amazing Park)</t>
        </is>
      </c>
      <c r="C19" s="78" t="n">
        <v>13.80629</v>
      </c>
      <c r="D19" s="78" t="n">
        <v>100.69253</v>
      </c>
      <c r="E19" s="78">
        <f>COUNTIFS('ต้นฉบับ_ร้าน'!$B:$B,$B19,'ต้นฉบับ_ร้าน'!$C:$C,E$1)</f>
        <v/>
      </c>
      <c r="F19" s="78">
        <f>COUNTIFS('ต้นฉบับ_ร้าน'!$B:$B,$B19,'ต้นฉบับ_ร้าน'!$C:$C,F$1)</f>
        <v/>
      </c>
      <c r="G19" s="78">
        <f>COUNTIFS('ต้นฉบับ_ร้าน'!$B:$B,$B19,'ต้นฉบับ_ร้าน'!$C:$C,G$1)</f>
        <v/>
      </c>
      <c r="H19" s="78">
        <f>SUM(E19:G19)</f>
        <v/>
      </c>
    </row>
    <row r="20">
      <c r="A20" s="76" t="n">
        <v>19</v>
      </c>
      <c r="B20" s="76" t="inlineStr">
        <is>
          <t>สะพานพระพุทธยอดฟ้า (สะพานพุทธ)</t>
        </is>
      </c>
      <c r="C20" s="76" t="n">
        <v>13.73928</v>
      </c>
      <c r="D20" s="76" t="n">
        <v>100.4976</v>
      </c>
      <c r="E20" s="76">
        <f>COUNTIFS('ต้นฉบับ_ร้าน'!$B:$B,$B20,'ต้นฉบับ_ร้าน'!$C:$C,E$1)</f>
        <v/>
      </c>
      <c r="F20" s="76">
        <f>COUNTIFS('ต้นฉบับ_ร้าน'!$B:$B,$B20,'ต้นฉบับ_ร้าน'!$C:$C,F$1)</f>
        <v/>
      </c>
      <c r="G20" s="76">
        <f>COUNTIFS('ต้นฉบับ_ร้าน'!$B:$B,$B20,'ต้นฉบับ_ร้าน'!$C:$C,G$1)</f>
        <v/>
      </c>
      <c r="H20" s="76">
        <f>SUM(E20:G20)</f>
        <v/>
      </c>
    </row>
    <row r="21">
      <c r="A21" s="78" t="n"/>
      <c r="B21" s="78" t="inlineStr">
        <is>
          <t>รวมทั้งหมด</t>
        </is>
      </c>
      <c r="C21" s="78" t="n"/>
      <c r="D21" s="78" t="n"/>
      <c r="E21" s="78">
        <f>SUM(E2:E20)</f>
        <v/>
      </c>
      <c r="F21" s="78">
        <f>SUM(F2:F20)</f>
        <v/>
      </c>
      <c r="G21" s="78">
        <f>SUM(G2:G20)</f>
        <v/>
      </c>
      <c r="H21" s="78">
        <f>SUM(H2:H20)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CA3AF"/>
    <outlinePr summaryBelow="1" summaryRight="1"/>
    <pageSetUpPr/>
  </sheetPr>
  <dimension ref="A1:B1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0" customHeight="1">
      <c r="A1" s="75" t="inlineStr">
        <is>
          <t>หัวข้อ</t>
        </is>
      </c>
      <c r="B1" s="75" t="inlineStr">
        <is>
          <t>รายละเอียด</t>
        </is>
      </c>
    </row>
    <row r="2">
      <c r="A2" s="23" t="inlineStr">
        <is>
          <t>ที่มาข้อมูล</t>
        </is>
      </c>
      <c r="B2" s="23" t="inlineStr">
        <is>
          <t>ข้อมูลร้านค้า พิกัด เวลาทำการ เบอร์โทร และรหัสสถานที่ (place_id) ดึงจาก Google Places (Google Maps) เมื่อวันที่ 3 ต.ค. 2569</t>
        </is>
      </c>
    </row>
    <row r="3">
      <c r="A3" s="21" t="inlineStr">
        <is>
          <t>นิยามคำว่า "เปิดให้บริการ"</t>
        </is>
      </c>
      <c r="B3" s="21" t="inlineStr">
        <is>
          <t>ร้านมีสถานะประกอบกิจการอยู่ใน Google Maps (ไม่ใช่ปิดถาวร/ปิดชั่วคราว) และมีวัน-เวลาทำการระบุไว้ ไม่ได้โทรยืนยันกับร้านรายร้าน แนะนำให้เช็กเวลาล่าสุดจากลิงก์ก่อนเดินทาง</t>
        </is>
      </c>
    </row>
    <row r="4">
      <c r="A4" s="23" t="inlineStr">
        <is>
          <t>ร้านที่เปิดเฉพาะบางวัน</t>
        </is>
      </c>
      <c r="B4" s="23" t="inlineStr">
        <is>
          <t>ดูคอลัมน์ "วัน-เวลาเปิดให้บริการ" เช่น ร้านปิดวันจันทร์/อังคาร/พุธ/อาทิตย์ ร้านในตลาดจตุจักรบางร้านเปิดเฉพาะเสาร์-อาทิตย์ และบางร้านเปิดเฉพาะช่วงเย็น</t>
        </is>
      </c>
    </row>
    <row r="5">
      <c r="A5" s="21" t="inlineStr">
        <is>
          <t>พิกัด</t>
        </is>
      </c>
      <c r="B5" s="21" t="inlineStr">
        <is>
          <t>ละติจูด/ลองจิจูดของแต่ละร้านมาจาก Google Maps (WGS84) ส่วนพิกัดแหล่งท่องเที่ยวอยู่ในชีต "แหล่งท่องเที่ยว"</t>
        </is>
      </c>
    </row>
    <row r="6">
      <c r="A6" s="23" t="inlineStr">
        <is>
          <t>ระยะห่าง</t>
        </is>
      </c>
      <c r="B6" s="23" t="inlineStr">
        <is>
          <t>คำนวณเป็นระยะทางเส้นตรง (Haversine) จากจุดอ้างอิงแหล่งท่องเที่ยวถึงร้าน ไม่ใช่ระยะเดินจริง</t>
        </is>
      </c>
    </row>
    <row r="7">
      <c r="A7" s="21" t="inlineStr">
        <is>
          <t>ลิงก์</t>
        </is>
      </c>
      <c r="B7" s="21" t="inlineStr">
        <is>
          <t>ลิงก์ Google Maps สร้างจากรหัสสถานที่ของแต่ละร้าน คลิกแล้วเปิดตำแหน่งร้านนั้นโดยตรง</t>
        </is>
      </c>
    </row>
    <row r="8">
      <c r="A8" s="23" t="inlineStr">
        <is>
          <t>คลองบางหลวง</t>
        </is>
      </c>
      <c r="B8" s="23" t="inlineStr">
        <is>
          <t>ตีความเป็นย่านคลองบางหลวง-บ้านศิลปิน/ตลาดน้ำคลองบางหลวง (ซ.เพชรเกษม 20 เขตภาษีเจริญ) หากหมายถึงจุดอื่นของคลองบางหลวง (เช่น ฝั่งบางกอกน้อย) แจ้งได้เพื่อค้นหาใหม่</t>
        </is>
      </c>
    </row>
    <row r="9">
      <c r="A9" s="21" t="inlineStr">
        <is>
          <t>สวนสยาม</t>
        </is>
      </c>
      <c r="B9" s="21" t="inlineStr">
        <is>
          <t>Google Maps แสดงชื่อ Siam Amazing Park (เขตคันนายาว) ใช้พิกัดนั้นเป็นจุดอ้างอิง</t>
        </is>
      </c>
    </row>
    <row r="10">
      <c r="A10" s="23" t="inlineStr">
        <is>
          <t>เยาวราช</t>
        </is>
      </c>
      <c r="B10" s="23" t="inlineStr">
        <is>
          <t>ผู้ใช้ระบุซ้ำ 2 ครั้งในรายการ นับเป็นแหล่งเดียว รวมแหล่งท่องเที่ยวทั้งหมด 19 แห่ง</t>
        </is>
      </c>
    </row>
    <row r="11">
      <c r="A11" s="21" t="inlineStr">
        <is>
          <t>ห้างสรรพสินค้า</t>
        </is>
      </c>
      <c r="B11" s="21" t="inlineStr">
        <is>
          <t>ร้านใน Siam Paragon / ICONSIAM อยู่ภายในห้างหรือบริเวณรอบห้าง ระยะเส้นตรงบางร้านอยู่ห่าง 0.5-1.5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2026-10-03T18:35:09Z</dcterms:created>
  <dcterms:modified xmlns:dcterms="http://purl.org/dc/terms/" xmlns:xsi="http://www.w3.org/2001/XMLSchema-instance" xsi:type="dcterms:W3CDTF">2026-10-03T18:35:09Z</dcterms:modified>
</cp:coreProperties>
</file>