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kmitlthailand-my.sharepoint.com/personal/67030261_kmitl_ac_th/Documents/ไฟล์การแชท Microsoft Teams/"/>
    </mc:Choice>
  </mc:AlternateContent>
  <xr:revisionPtr revIDLastSave="1" documentId="11_66F10FE7DE3B125415F66520F7CB00247FDE8B49" xr6:coauthVersionLast="47" xr6:coauthVersionMax="47" xr10:uidLastSave="{27385D5C-0692-48A8-97C1-3C501CF79F82}"/>
  <bookViews>
    <workbookView xWindow="-108" yWindow="-108" windowWidth="23256" windowHeight="12456" tabRatio="500" xr2:uid="{00000000-000D-0000-FFFF-FFFF00000000}"/>
  </bookViews>
  <sheets>
    <sheet name="ร้านใกล้แหล่งท่องเที่ยว" sheetId="1" r:id="rId1"/>
    <sheet name="แหล่งท่องเที่ยว" sheetId="2" r:id="rId2"/>
    <sheet name="หมายเหตุ" sheetId="3" r:id="rId3"/>
  </sheets>
  <definedNames>
    <definedName name="_xlnm._FilterDatabase" localSheetId="0" hidden="1">ร้านใกล้แหล่งท่องเที่ยว!$A$1:$L$172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20" i="2" l="1"/>
  <c r="F20" i="2"/>
  <c r="E20" i="2"/>
  <c r="H20" i="2" s="1"/>
  <c r="G19" i="2"/>
  <c r="F19" i="2"/>
  <c r="E19" i="2"/>
  <c r="H19" i="2" s="1"/>
  <c r="G18" i="2"/>
  <c r="F18" i="2"/>
  <c r="E18" i="2"/>
  <c r="H18" i="2" s="1"/>
  <c r="G17" i="2"/>
  <c r="F17" i="2"/>
  <c r="E17" i="2"/>
  <c r="H17" i="2" s="1"/>
  <c r="G16" i="2"/>
  <c r="F16" i="2"/>
  <c r="E16" i="2"/>
  <c r="H16" i="2" s="1"/>
  <c r="G15" i="2"/>
  <c r="F15" i="2"/>
  <c r="E15" i="2"/>
  <c r="H15" i="2" s="1"/>
  <c r="G14" i="2"/>
  <c r="F14" i="2"/>
  <c r="E14" i="2"/>
  <c r="H14" i="2" s="1"/>
  <c r="G13" i="2"/>
  <c r="F13" i="2"/>
  <c r="E13" i="2"/>
  <c r="H13" i="2" s="1"/>
  <c r="G12" i="2"/>
  <c r="F12" i="2"/>
  <c r="E12" i="2"/>
  <c r="H12" i="2" s="1"/>
  <c r="G11" i="2"/>
  <c r="F11" i="2"/>
  <c r="E11" i="2"/>
  <c r="H11" i="2" s="1"/>
  <c r="G10" i="2"/>
  <c r="F10" i="2"/>
  <c r="E10" i="2"/>
  <c r="H10" i="2" s="1"/>
  <c r="G9" i="2"/>
  <c r="F9" i="2"/>
  <c r="E9" i="2"/>
  <c r="H9" i="2" s="1"/>
  <c r="G8" i="2"/>
  <c r="F8" i="2"/>
  <c r="E8" i="2"/>
  <c r="H8" i="2" s="1"/>
  <c r="G7" i="2"/>
  <c r="F7" i="2"/>
  <c r="E7" i="2"/>
  <c r="H7" i="2" s="1"/>
  <c r="G6" i="2"/>
  <c r="H6" i="2" s="1"/>
  <c r="F6" i="2"/>
  <c r="E6" i="2"/>
  <c r="G5" i="2"/>
  <c r="F5" i="2"/>
  <c r="E5" i="2"/>
  <c r="H5" i="2" s="1"/>
  <c r="G4" i="2"/>
  <c r="F4" i="2"/>
  <c r="E4" i="2"/>
  <c r="H4" i="2" s="1"/>
  <c r="G3" i="2"/>
  <c r="F3" i="2"/>
  <c r="E3" i="2"/>
  <c r="H3" i="2" s="1"/>
  <c r="G2" i="2"/>
  <c r="G21" i="2" s="1"/>
  <c r="F2" i="2"/>
  <c r="F21" i="2" s="1"/>
  <c r="E2" i="2"/>
  <c r="K172" i="1"/>
  <c r="K171" i="1"/>
  <c r="K170" i="1"/>
  <c r="K169" i="1"/>
  <c r="K168" i="1"/>
  <c r="K167" i="1"/>
  <c r="K166" i="1"/>
  <c r="K165" i="1"/>
  <c r="K164" i="1"/>
  <c r="K163" i="1"/>
  <c r="K162" i="1"/>
  <c r="K161" i="1"/>
  <c r="K160" i="1"/>
  <c r="K159" i="1"/>
  <c r="K158" i="1"/>
  <c r="K157" i="1"/>
  <c r="K156" i="1"/>
  <c r="K155" i="1"/>
  <c r="K154" i="1"/>
  <c r="K153" i="1"/>
  <c r="K152" i="1"/>
  <c r="K151" i="1"/>
  <c r="K150" i="1"/>
  <c r="K149" i="1"/>
  <c r="K148" i="1"/>
  <c r="K147" i="1"/>
  <c r="K146" i="1"/>
  <c r="K145" i="1"/>
  <c r="K144" i="1"/>
  <c r="K143" i="1"/>
  <c r="K142" i="1"/>
  <c r="K141" i="1"/>
  <c r="K140" i="1"/>
  <c r="K139" i="1"/>
  <c r="K138" i="1"/>
  <c r="K137" i="1"/>
  <c r="K136" i="1"/>
  <c r="K135" i="1"/>
  <c r="K134" i="1"/>
  <c r="K133" i="1"/>
  <c r="K132" i="1"/>
  <c r="K131" i="1"/>
  <c r="K130" i="1"/>
  <c r="K129" i="1"/>
  <c r="K128" i="1"/>
  <c r="K127" i="1"/>
  <c r="K126" i="1"/>
  <c r="K125" i="1"/>
  <c r="K124" i="1"/>
  <c r="K123" i="1"/>
  <c r="K122" i="1"/>
  <c r="K121" i="1"/>
  <c r="K120" i="1"/>
  <c r="K119" i="1"/>
  <c r="K118" i="1"/>
  <c r="K117" i="1"/>
  <c r="K116" i="1"/>
  <c r="K115" i="1"/>
  <c r="K114" i="1"/>
  <c r="K113" i="1"/>
  <c r="K112" i="1"/>
  <c r="K111" i="1"/>
  <c r="K110" i="1"/>
  <c r="K109" i="1"/>
  <c r="K108" i="1"/>
  <c r="K107" i="1"/>
  <c r="K106" i="1"/>
  <c r="K105" i="1"/>
  <c r="K104" i="1"/>
  <c r="K103" i="1"/>
  <c r="K102" i="1"/>
  <c r="K101" i="1"/>
  <c r="K100" i="1"/>
  <c r="K99" i="1"/>
  <c r="K98" i="1"/>
  <c r="K97" i="1"/>
  <c r="K96" i="1"/>
  <c r="K95" i="1"/>
  <c r="K94" i="1"/>
  <c r="K93" i="1"/>
  <c r="K92" i="1"/>
  <c r="K91" i="1"/>
  <c r="K90" i="1"/>
  <c r="K89" i="1"/>
  <c r="K88" i="1"/>
  <c r="K87" i="1"/>
  <c r="K86" i="1"/>
  <c r="K85" i="1"/>
  <c r="K84" i="1"/>
  <c r="K83" i="1"/>
  <c r="K82" i="1"/>
  <c r="K81" i="1"/>
  <c r="K80" i="1"/>
  <c r="K79" i="1"/>
  <c r="K78" i="1"/>
  <c r="K77" i="1"/>
  <c r="K76" i="1"/>
  <c r="K75" i="1"/>
  <c r="K74" i="1"/>
  <c r="K73" i="1"/>
  <c r="K72" i="1"/>
  <c r="K71" i="1"/>
  <c r="K70" i="1"/>
  <c r="K69" i="1"/>
  <c r="K68" i="1"/>
  <c r="K67" i="1"/>
  <c r="K66" i="1"/>
  <c r="K65" i="1"/>
  <c r="K64" i="1"/>
  <c r="K63" i="1"/>
  <c r="K62" i="1"/>
  <c r="K61" i="1"/>
  <c r="K60" i="1"/>
  <c r="K59" i="1"/>
  <c r="K58" i="1"/>
  <c r="K57" i="1"/>
  <c r="K56" i="1"/>
  <c r="K55" i="1"/>
  <c r="K54" i="1"/>
  <c r="K53" i="1"/>
  <c r="K52" i="1"/>
  <c r="K51" i="1"/>
  <c r="K50" i="1"/>
  <c r="K49" i="1"/>
  <c r="K48" i="1"/>
  <c r="K47" i="1"/>
  <c r="K46" i="1"/>
  <c r="K45" i="1"/>
  <c r="K44" i="1"/>
  <c r="K43" i="1"/>
  <c r="K42" i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K4" i="1"/>
  <c r="K3" i="1"/>
  <c r="K2" i="1"/>
  <c r="H2" i="2" l="1"/>
  <c r="H21" i="2" s="1"/>
  <c r="E21" i="2"/>
</calcChain>
</file>

<file path=xl/sharedStrings.xml><?xml version="1.0" encoding="utf-8"?>
<sst xmlns="http://schemas.openxmlformats.org/spreadsheetml/2006/main" count="1259" uniqueCount="668">
  <si>
    <t>ลำดับ</t>
  </si>
  <si>
    <t>แหล่งท่องเที่ยว</t>
  </si>
  <si>
    <t>ประเภท</t>
  </si>
  <si>
    <t>ชื่อร้าน</t>
  </si>
  <si>
    <t>ละติจูด</t>
  </si>
  <si>
    <t>ลองจิจูด</t>
  </si>
  <si>
    <t>ระยะห่างจากแหล่งท่องเที่ยว (กม.)</t>
  </si>
  <si>
    <t>ที่อยู่</t>
  </si>
  <si>
    <t>วัน-เวลาเปิดให้บริการ</t>
  </si>
  <si>
    <t>เบอร์โทร</t>
  </si>
  <si>
    <t>ลิงก์ Google Maps</t>
  </si>
  <si>
    <t>สถานะ (ตรวจสอบ 3 ต.ค. 2569)</t>
  </si>
  <si>
    <t>SkyWalk King Power Mahanakhon (คิงเพาเวอร์ มหานคร)</t>
  </si>
  <si>
    <t>ร้านอาหาร</t>
  </si>
  <si>
    <t>Mahanakhon Eatery</t>
  </si>
  <si>
    <t>96 ถ.นราธิวาสราชนครินทร์ สีลม บางรัก</t>
  </si>
  <si>
    <t>ทุกวัน 08:00-22:00</t>
  </si>
  <si>
    <t>+66 2 677 8721</t>
  </si>
  <si>
    <t>เปิดให้บริการ (มีเวลาทำการใน Google Maps)</t>
  </si>
  <si>
    <t>Babyccino Mahanakhon</t>
  </si>
  <si>
    <t>Mahanakhon Cube 96 ถ.นราธิวาสฯ สีลม บางรัก</t>
  </si>
  <si>
    <t>ทุกวัน 10:00-22:00</t>
  </si>
  <si>
    <t>+66 92 446 9222</t>
  </si>
  <si>
    <t>The Standard Grill</t>
  </si>
  <si>
    <t>ชั้น 5 The Standard Bangkok Mahanakhon 114 ถ.นราธิวาสฯ</t>
  </si>
  <si>
    <t>จ-ศ 17:30-22:30 / ส-อา 12:00-15:00, 17:30-22:30</t>
  </si>
  <si>
    <t>+66 2 085 8888</t>
  </si>
  <si>
    <t>ร้านเครื่องดื่ม</t>
  </si>
  <si>
    <t>Sugar Bliss Coffee &amp; Brunch (Ashton Silom)</t>
  </si>
  <si>
    <t>Ashton Silom ถ.สีลม สุริยวงศ์ บางรัก</t>
  </si>
  <si>
    <t>ทุกวัน 08:00-18:00</t>
  </si>
  <si>
    <t>+66 93 452 2989</t>
  </si>
  <si>
    <t>Still Bean — Silom</t>
  </si>
  <si>
    <t>2, 3 ถ.คอนแวนต์ สีลม บางรัก</t>
  </si>
  <si>
    <t>ทุกวัน 07:30-20:00</t>
  </si>
  <si>
    <t>+66 2 000 0101</t>
  </si>
  <si>
    <t>GATTA Cafe (Park Silom) - Specialty Coffee</t>
  </si>
  <si>
    <t>ชั้น L Park Silom ถ.สีลม บางรัก</t>
  </si>
  <si>
    <t>จ-ศ 07:00-17:30 / ส-อา 08:00-16:30</t>
  </si>
  <si>
    <t>+66 96 079 8822</t>
  </si>
  <si>
    <t>ร้านของหวาน</t>
  </si>
  <si>
    <t>Brioche from Heaven</t>
  </si>
  <si>
    <t>156 ถ.นราธิวาสราชนครินทร์ สีลม บางรัก</t>
  </si>
  <si>
    <t>ทุกวัน 08:30-18:30</t>
  </si>
  <si>
    <t>+66 64 847 0049</t>
  </si>
  <si>
    <t>After You Dessert Café (Silom Complex)</t>
  </si>
  <si>
    <t>Silom Complex ชั้น 2 191 ถ.สีลม บางรัก</t>
  </si>
  <si>
    <t>ทุกวัน 10:30-21:00</t>
  </si>
  <si>
    <t>+66 2 231 3255</t>
  </si>
  <si>
    <t>Kyo Roll En (Silom Complex)</t>
  </si>
  <si>
    <t>Silom Complex ชั้น B 191 ถ.สีลม บางรัก</t>
  </si>
  <si>
    <t>ทุกวัน 10:30-22:00</t>
  </si>
  <si>
    <t>+66 65 717 9010</t>
  </si>
  <si>
    <t>วัดพระศรีรัตนศาสดาราม (วัดพระแก้ว)</t>
  </si>
  <si>
    <t>Thong Heng Lee Restaurant</t>
  </si>
  <si>
    <t>192-194 ถ.มหาราช พระบรมมหาราชวัง พระนคร</t>
  </si>
  <si>
    <t>อ-อา 08:30-16:30 (ปิดวันจันทร์)</t>
  </si>
  <si>
    <t>+66 81 649 4890</t>
  </si>
  <si>
    <t>The Gate Grand Palace</t>
  </si>
  <si>
    <t>77 ถ.หน้าพระลาน ท่าช้าง พระนคร</t>
  </si>
  <si>
    <t>ทุกวัน 09:00-18:00</t>
  </si>
  <si>
    <t>+66 82 752 4993</t>
  </si>
  <si>
    <t>Thai Royal Kitchen ครัวหน้าวัง</t>
  </si>
  <si>
    <t>12 ถ.ราชบพิธ วัดราชบพิธ พระนคร</t>
  </si>
  <si>
    <t>ทุกวัน 05:30-14:00 (แนะนำสั่งล่วงหน้า)</t>
  </si>
  <si>
    <t>+66 63 965 5656</t>
  </si>
  <si>
    <t>Tawang Thai Tea, Legendary of LIGOR @Wat Phra Kaew</t>
  </si>
  <si>
    <t>9 ถ.หน้าพระลาน พระบรมมหาราชวัง พระนคร</t>
  </si>
  <si>
    <t>ทุกวัน 09:00-17:00</t>
  </si>
  <si>
    <t>+66 88 980 9398</t>
  </si>
  <si>
    <t>Cloud Phranakhon</t>
  </si>
  <si>
    <t>ซ.หน้าพระธาตุ พระบรมมหาราชวัง พระนคร</t>
  </si>
  <si>
    <t>ทุกวัน 07:00-21:00</t>
  </si>
  <si>
    <t>+66 80 296 5549</t>
  </si>
  <si>
    <t>ช่างคั่ว สาขาท่าพระจันทร์</t>
  </si>
  <si>
    <t>5-7 ซ.ท่าพระจันทร์ พระบรมมหาราชวัง พระนคร</t>
  </si>
  <si>
    <t>ทุกวัน 08:00-16:00</t>
  </si>
  <si>
    <t>+66 96 395 9446</t>
  </si>
  <si>
    <t>Nuttaporn Ice Cream (ไอศกรีมมะพร้าวนัฐพร)</t>
  </si>
  <si>
    <t>94 ถ.แพร่งภูธร ศาลเจ้าพ่อเสือ พระนคร</t>
  </si>
  <si>
    <t>จ-ส 09:00-17:00 (ปิดวันอาทิตย์)</t>
  </si>
  <si>
    <t>+66 89 826 5752</t>
  </si>
  <si>
    <t>ร้านลุงแดง (ขนมไทยโบราณ แพร่งนรา)</t>
  </si>
  <si>
    <t>112 ถ.แพร่งนรา ศาลเจ้าพ่อเสือ พระนคร</t>
  </si>
  <si>
    <t>จ-ศ 09:00-15:00 (ปิดเสาร์-อาทิตย์)</t>
  </si>
  <si>
    <t>+66 2 622 0404</t>
  </si>
  <si>
    <t>PAULETTE BKK</t>
  </si>
  <si>
    <t>65 ถ.เฟื่องนคร วัดราชบพิธ พระนคร</t>
  </si>
  <si>
    <t>ทุกวัน 07:30-18:30</t>
  </si>
  <si>
    <t>+66 63 674 6561</t>
  </si>
  <si>
    <t>วัดพระเชตุพนวิมลมังคลาราม (วัดโพธิ์)</t>
  </si>
  <si>
    <t>Baan ThaTien</t>
  </si>
  <si>
    <t>392/2 ถ.มหาราช พระบรมมหาราชวัง พระนคร</t>
  </si>
  <si>
    <t>ทุกวัน 08:00-19:00</t>
  </si>
  <si>
    <t>+66 95 151 5545</t>
  </si>
  <si>
    <t>Home Cafe Tha Tien</t>
  </si>
  <si>
    <t>10-14 ซ.ท่าเตียน พระบรมมหาราชวัง พระนคร</t>
  </si>
  <si>
    <t>จ-ส 10:30-19:00 (ปิดวันอาทิตย์)</t>
  </si>
  <si>
    <t>+66 2 622 1936</t>
  </si>
  <si>
    <t>RONGROS</t>
  </si>
  <si>
    <t>392/16 ถ.มหาราช พระบรมมหาราชวัง พระนคร</t>
  </si>
  <si>
    <t>ทุกวัน 11:00-15:00, 17:00-22:00</t>
  </si>
  <si>
    <t>+66 96 946 1785</t>
  </si>
  <si>
    <t>Orin Coffee roaster &amp; Specialty tea</t>
  </si>
  <si>
    <t>20 ซ.ท่าเตียน พระบรมมหาราชวัง พระนคร</t>
  </si>
  <si>
    <t>ทุกวัน 08:00-18:00 (ปิดวันพุธ)</t>
  </si>
  <si>
    <t>+66 88 666 2027</t>
  </si>
  <si>
    <t>SLOWBAR : Slow coffee &amp; Juice bar</t>
  </si>
  <si>
    <t>85/2 พระบรมมหาราชวัง พระนคร</t>
  </si>
  <si>
    <t>ทุกวัน 10:00-19:00 (ปิดวันอังคาร)</t>
  </si>
  <si>
    <t>+66 94 952 6463</t>
  </si>
  <si>
    <t>ตั้งเตียนน์ - Tang De Tien Cafe' &amp; Curated twist</t>
  </si>
  <si>
    <t>312-314 ถ.มหาราช พระบรมมหาราชวัง พระนคร</t>
  </si>
  <si>
    <t>ทุกวัน 09:30-20:30</t>
  </si>
  <si>
    <t>+66 61 415 1555</t>
  </si>
  <si>
    <t>Heychom Thai Dessert Bar</t>
  </si>
  <si>
    <t>320 ถ.มหาราช พระบรมมหาราชวัง พระนคร</t>
  </si>
  <si>
    <t>ทุกวัน 11:00-18:00</t>
  </si>
  <si>
    <t>+66 99 239 9246</t>
  </si>
  <si>
    <t>After Sunrise</t>
  </si>
  <si>
    <t>370 ชั้น 2 Chetuphon Gate ซ.ประตูนกยูง พระนคร</t>
  </si>
  <si>
    <t>ทุกวัน 12:00-20:00</t>
  </si>
  <si>
    <t>-</t>
  </si>
  <si>
    <t>A Pink Rabbit + Bob</t>
  </si>
  <si>
    <t>378 ถ.มหาราช พระบรมมหาราชวัง พระนคร</t>
  </si>
  <si>
    <t>ทุกวัน 09:00-20:00</t>
  </si>
  <si>
    <t>+66 62 639 8880</t>
  </si>
  <si>
    <t>วัดอรุณราชวรารามราชวรมหาวิหาร</t>
  </si>
  <si>
    <t>Chom Arun</t>
  </si>
  <si>
    <t>392/53 ถ.มหาราช พระบรมมหาราชวัง พระนคร</t>
  </si>
  <si>
    <t>ทุกวัน 10:30-21:30</t>
  </si>
  <si>
    <t>+66 95 446 4199</t>
  </si>
  <si>
    <t>Supanniga Eating Room Tha Tien</t>
  </si>
  <si>
    <t>392/25-26 ซ.เพ็ญพัฒน์ 2 พระบรมมหาราชวัง พระนคร</t>
  </si>
  <si>
    <t>จ-ศ 11:00-22:00 / ส-อา 10:00-22:00</t>
  </si>
  <si>
    <t>+66 92 253 9251</t>
  </si>
  <si>
    <t>Eat Sight Story Deck</t>
  </si>
  <si>
    <t>47-79 ซ.ท่าเตียน พระบรมมหาราชวัง พระนคร</t>
  </si>
  <si>
    <t>ทุกวัน 11:00-22:00</t>
  </si>
  <si>
    <t>+66 83 988 8735</t>
  </si>
  <si>
    <t>ViVi The Coffee Place</t>
  </si>
  <si>
    <t>394/29 ซ.ปานสุข พระบรมมหาราชวัง พระนคร</t>
  </si>
  <si>
    <t>ทุกวัน 10:00-20:00</t>
  </si>
  <si>
    <t>+66 2 226 4672</t>
  </si>
  <si>
    <t>Arun-Cafe</t>
  </si>
  <si>
    <t>169/3 ถ.อรุณอมรินทร์ วัดอรุณ บางกอกใหญ่</t>
  </si>
  <si>
    <t>gunsbake.cafe</t>
  </si>
  <si>
    <t>39/7 ถ.วังเดิม วัดอรุณ บางกอกใหญ่</t>
  </si>
  <si>
    <t>จ 10:00-18:00 / พ 10:00-16:00 / พฤ 10:00-18:00 / ศ 10:00-16:00 / ส 10:00-18:00 / อา 10:00-17:00 (ปิดวันอังคาร)</t>
  </si>
  <si>
    <t>+66 86 824 5353</t>
  </si>
  <si>
    <t>Before Sunset</t>
  </si>
  <si>
    <t>40/1 ซ.ประตูนกยูง พระบรมมหาราชวัง พระนคร</t>
  </si>
  <si>
    <t>ทุกวัน 13:00-20:00</t>
  </si>
  <si>
    <t>Priscilla Ice Cream</t>
  </si>
  <si>
    <t>59 ซ.ริมคลองมอญ วัดอรุณ บางกอกใหญ่</t>
  </si>
  <si>
    <t>จ-พฤ 08:00-18:00 / ศ-ส 08:00-20:00 / อา 08:00-19:00</t>
  </si>
  <si>
    <t>+66 83 008 7451</t>
  </si>
  <si>
    <t>Ice Therapy (ไอศกรีมเจลาโต้)</t>
  </si>
  <si>
    <t>105 ถ.วังเดิม วัดอรุณ บางกอกใหญ่</t>
  </si>
  <si>
    <t>จ,อ,พฤ-อา 12:00-20:00 (ปิดวันพุธ)</t>
  </si>
  <si>
    <t>+66 95 775 9794</t>
  </si>
  <si>
    <t>วัดปากน้ำภาษีเจริญ</t>
  </si>
  <si>
    <t>ร้านตุ้มอร่อย คาเฟ่ Toomaroi Café</t>
  </si>
  <si>
    <t>119/18 ถ.เทอดไท ปากคลองภาษีเจริญ ภาษีเจริญ</t>
  </si>
  <si>
    <t>จ,อ,ศ-อา 09:30-17:30 (ปิดพุธ-พฤหัสบดี)</t>
  </si>
  <si>
    <t>+66 95 998 7928</t>
  </si>
  <si>
    <t>Hidden Bangkok Bistro</t>
  </si>
  <si>
    <t>872/8 ซ.เทอดไท 26 ตลาดพลู ธนบุรี</t>
  </si>
  <si>
    <t>ทุกวัน 09:00-22:00</t>
  </si>
  <si>
    <t>+66 90 897 9835</t>
  </si>
  <si>
    <t>ฉอเล้ง หมี่กระเฉด ตลาดพลู</t>
  </si>
  <si>
    <t>ซ.เทอดไท 25 ตลาดพลู ธนบุรี</t>
  </si>
  <si>
    <t>ทุกวัน 11:00-23:00 (เสาร์)</t>
  </si>
  <si>
    <t>+66 62 569 1465</t>
  </si>
  <si>
    <t>Meili Cafe เหม่ยลี่คาเฟ่</t>
  </si>
  <si>
    <t>196 ปากคลองภาษีเจริญ ภาษีเจริญ</t>
  </si>
  <si>
    <t>ทุกวัน 09:00-17:30</t>
  </si>
  <si>
    <t>+66 82 682 6869</t>
  </si>
  <si>
    <t>Uruea Café (อุรุเอ คาเฟ่)</t>
  </si>
  <si>
    <t>ซ.เพชรเกษม 15 แยก 9 วัดท่าพระ บางกอกใหญ่</t>
  </si>
  <si>
    <t>ทุกวัน 10:00-19:00</t>
  </si>
  <si>
    <t>+66 61 363 6646</t>
  </si>
  <si>
    <t>Cino (ชิโน่ คาเฟ่)</t>
  </si>
  <si>
    <t>112/2 วัดปากน้ำ ปากคลองภาษีเจริญ ภาษีเจริญ</t>
  </si>
  <si>
    <t>Ni-Ang Shaved Ice Cream (นิ่ง ไอศกรีมไข่แดง)</t>
  </si>
  <si>
    <t>919 ซ.เลียบทางรถไฟ ตลาดพลู ธนบุรี</t>
  </si>
  <si>
    <t>ทุกวัน 15:00-02:00</t>
  </si>
  <si>
    <t>+66 81 920 7802</t>
  </si>
  <si>
    <t>bāolú</t>
  </si>
  <si>
    <t>ปากซ.เทอดไท 20 ตลาดพลู ธนบุรี</t>
  </si>
  <si>
    <t>ทุกวัน 15:00-23:00 (เสาร์)</t>
  </si>
  <si>
    <t>+66 81 838 4480</t>
  </si>
  <si>
    <t>Family Bakery</t>
  </si>
  <si>
    <t>66/6 ซ.เทอดไท 33 ตลาดพลู ธนบุรี</t>
  </si>
  <si>
    <t>ทุกวัน 07:00-21:00 (เสาร์)</t>
  </si>
  <si>
    <t>+66 2 465 6004</t>
  </si>
  <si>
    <t>บรรทัดทอง (ถ.บรรทัดทอง)</t>
  </si>
  <si>
    <t>Jae Keang (Banthat Thong)</t>
  </si>
  <si>
    <t>679 ถ.บรรทัดทอง วังใหม่ ปทุมวัน</t>
  </si>
  <si>
    <t>ทุกวัน 16:00-24:00</t>
  </si>
  <si>
    <t>+66 86 884 4352</t>
  </si>
  <si>
    <t>Pa Nee Kung Chae Nam Pla (ป้านีกุ้งแช่น้ำปลา)</t>
  </si>
  <si>
    <t>36 ซ.จุฬาฯ 14 วังใหม่ ปทุมวัน</t>
  </si>
  <si>
    <t>ทุกวัน 16:00-22:00</t>
  </si>
  <si>
    <t>+66 90 646 9224</t>
  </si>
  <si>
    <t>Somboon Seafood (สมบูรณ์โภชนา บรรทัดทอง)</t>
  </si>
  <si>
    <t>895/6-21 ถ.บรรทัดทอง วังใหม่ ปทุมวัน</t>
  </si>
  <si>
    <t>+66 2 216 4203</t>
  </si>
  <si>
    <t>Everyday Thai Tea (Head Quarter)</t>
  </si>
  <si>
    <t>13 ซ.จุฬาลงกรณ์ 12 รองเมือง ปทุมวัน</t>
  </si>
  <si>
    <t>ทุกวัน 10:00-21:00</t>
  </si>
  <si>
    <t>+66 81 235 3926</t>
  </si>
  <si>
    <t>TEA PEARL</t>
  </si>
  <si>
    <t>1324 ถ.บรรทัดทอง วังใหม่ ปทุมวัน</t>
  </si>
  <si>
    <t>ทุกวัน 12:00-24:00</t>
  </si>
  <si>
    <t>+66 90 915 2199</t>
  </si>
  <si>
    <t>Nokhook House Cafe</t>
  </si>
  <si>
    <t>1444 ถ.บรรทัดทอง วังใหม่ ปทุมวัน</t>
  </si>
  <si>
    <t>จ 09:00-02:00 / อ-พฤ 16:30-01:30 / ศ-อา 16:30-02:00</t>
  </si>
  <si>
    <t>+66 97 424 2363</t>
  </si>
  <si>
    <t>Bingbun</t>
  </si>
  <si>
    <t>1638 ถ.บรรทัดทอง วังใหม่ ปทุมวัน</t>
  </si>
  <si>
    <t>Jae Wan (เจ๊แวน)</t>
  </si>
  <si>
    <t>1700 ถ.บรรทัดทอง รองเมือง ปทุมวัน</t>
  </si>
  <si>
    <t>ทุกวัน 13:45-23:30 (อาทิตย์ 13:30)</t>
  </si>
  <si>
    <t>+66 81 421 3761</t>
  </si>
  <si>
    <t>แก้วกล้า ขนมหวานกะทิสด (KK Thai Dessert)</t>
  </si>
  <si>
    <t>1786 ถ.บรรทัดทอง วังใหม่ ปทุมวัน</t>
  </si>
  <si>
    <t>ทุกวัน 12:00-03:00</t>
  </si>
  <si>
    <t>+66 61 878 7855</t>
  </si>
  <si>
    <t>เยาวราช</t>
  </si>
  <si>
    <t>HAGOW Yaowarat</t>
  </si>
  <si>
    <t>387 ถ.เยาวราช สัมพันธวงศ์</t>
  </si>
  <si>
    <t>ทุกวัน 11:00-21:30 (เสาร์)</t>
  </si>
  <si>
    <t>+66 63 956 2752</t>
  </si>
  <si>
    <t>Laoteng (เล่าเต็ง)</t>
  </si>
  <si>
    <t>438 ชั้น 2 ถ.เยาวราช สัมพันธวงศ์</t>
  </si>
  <si>
    <t>ทุกวัน 11:00-24:00 (เสาร์)</t>
  </si>
  <si>
    <t>+66 96 245 4242</t>
  </si>
  <si>
    <t>Xie Chinatown</t>
  </si>
  <si>
    <t>446 ถ.เยาวราช สัมพันธวงศ์</t>
  </si>
  <si>
    <t>ทุกวัน 15:30-00:30 (เสาร์)</t>
  </si>
  <si>
    <t>+66 96 915 6659</t>
  </si>
  <si>
    <t>Double Dogs Tearoom</t>
  </si>
  <si>
    <t>406 ถ.เยาวราช จักรวรรดิ สัมพันธวงศ์</t>
  </si>
  <si>
    <t>พฤ-จ 11:00-18:00 (ปิดอังคาร-พุธ)</t>
  </si>
  <si>
    <t>+66 86 329 3075</t>
  </si>
  <si>
    <t>Siam Heng Huat Bai Cha Shop (สยามเฮงฮวด)</t>
  </si>
  <si>
    <t>36-42 ถ.แปลงนาม สัมพันธวงศ์</t>
  </si>
  <si>
    <t>ทุกวัน 09:00-21:00 (เสาร์)</t>
  </si>
  <si>
    <t>+66 63 457 7308</t>
  </si>
  <si>
    <t>THREE TEA POTS by Ew Kee Tea</t>
  </si>
  <si>
    <t>465-467 ถ.เจริญกรุง ป้อมปราบ ป้อมปราบฯ</t>
  </si>
  <si>
    <t>ทุกวัน 10:00-19:00 (เสาร์)</t>
  </si>
  <si>
    <t>+66 95 516 2125</t>
  </si>
  <si>
    <t>Sweettime</t>
  </si>
  <si>
    <t>436 ถ.เยาวราช สัมพันธวงศ์</t>
  </si>
  <si>
    <t>อ-อา 17:30-01:30 (ปิดจันทร์)</t>
  </si>
  <si>
    <t>+66 86 722 2458</t>
  </si>
  <si>
    <t>Ba Hao Tian Mi - Yaowarat</t>
  </si>
  <si>
    <t>8 ถ.พลับพลาไชย/ผดุงด้าว สัมพันธวงศ์</t>
  </si>
  <si>
    <t>ทุกวัน 10:00-23:00 (เสาร์)</t>
  </si>
  <si>
    <t>+66 97 995 4543</t>
  </si>
  <si>
    <t>Che Muai Mi Wan (เฉ๋าก๊วยหมวยมีหวาน)</t>
  </si>
  <si>
    <t>534 ซ.เจริญไชย 2 ป้อมปราบ ป้อมปราบฯ</t>
  </si>
  <si>
    <t>ทุกวัน 09:00-22:00 (เสาร์)</t>
  </si>
  <si>
    <t>+66 80 621 3050</t>
  </si>
  <si>
    <t>คลองบางหลวง (Artist House / ตลาดน้ำคลองบางหลวง ภาษีเจริญ)</t>
  </si>
  <si>
    <t>Khun Aoi's Kitchen (ครัวคุณอ้อย)</t>
  </si>
  <si>
    <t>301 ถ.เพชรเกษม คูหาสวรรค์ ภาษีเจริญ</t>
  </si>
  <si>
    <t>ทุกวัน 07:00-19:00 (เสาร์)</t>
  </si>
  <si>
    <t>+66 84 076 1002</t>
  </si>
  <si>
    <t>Baan Plern Jitt (บ้านเพลินจิต)</t>
  </si>
  <si>
    <t>เชิงสะพานช้าง ซ.เพชรเกษม 20 ภาษีเจริญ</t>
  </si>
  <si>
    <t>ทุกวัน 11:00-17:00 (ปิดวันพุธ)</t>
  </si>
  <si>
    <t>+66 97 241 4961</t>
  </si>
  <si>
    <t>Chaai-Samai 2498 Bangkok</t>
  </si>
  <si>
    <t>97/2 ซ.เพชรเกษม 28 คูหาสวรรค์ ภาษีเจริญ</t>
  </si>
  <si>
    <t>ทุกวัน 10:00-20:00 (ปิดวันพุธ)</t>
  </si>
  <si>
    <t>+66 88 269 9542</t>
  </si>
  <si>
    <t>Baan Khlong Luang Cafe Khlongbangluang</t>
  </si>
  <si>
    <t>503 คลองบางหลวง ซ.เพชรเกษม 28 คูหาสวรรค์ ภาษีเจริญ</t>
  </si>
  <si>
    <t>ทุกวัน 09:50-18:30 (เสาร์)</t>
  </si>
  <si>
    <t>คาเฟ่บ้านพึ่งศิลป์</t>
  </si>
  <si>
    <t>297 ซ.เพชรเกษม 20 ปากคลองภาษีเจริญ</t>
  </si>
  <si>
    <t>ทุกวัน 09:30-18:30 (เสาร์)</t>
  </si>
  <si>
    <t>The Artist House Bangkok (คาเฟ่ในบ้านศิลปิน)</t>
  </si>
  <si>
    <t>309 ถ.เพชรเกษม คูหาสวรรค์ ภาษีเจริญ</t>
  </si>
  <si>
    <t>จ-ศ,อา 10:00-18:00 / ส 10:00-19:00</t>
  </si>
  <si>
    <t>+66 65 691 5655</t>
  </si>
  <si>
    <t>ขนมเบื้องแม่แอด (คลองบางหลวง)</t>
  </si>
  <si>
    <t>ซ.เพชรเกษม 20 ปากคลองภาษีเจริญ</t>
  </si>
  <si>
    <t>ทุกวัน 12:00-18:00 (เสาร์)</t>
  </si>
  <si>
    <t>+66 94 551 5308</t>
  </si>
  <si>
    <t>เศรษฐีนี ขนมไทย (Zetinee)</t>
  </si>
  <si>
    <t>1330/32 ซ.พิสิษฐ์บรรณากร วัดท่าพระ บางกอกใหญ่</t>
  </si>
  <si>
    <t>ทุกวัน 10:00-18:00 (เสาร์)</t>
  </si>
  <si>
    <t>+66 65 662 6559</t>
  </si>
  <si>
    <t>Meow Meow Roll - ขนมโตเกียว</t>
  </si>
  <si>
    <t>178 คูหาสวรรค์ ภาษีเจริญ</t>
  </si>
  <si>
    <t>พฤ-อา 11:00-17:30 (ปิดจ-พ)</t>
  </si>
  <si>
    <t>+66 85 075 5599</t>
  </si>
  <si>
    <t>ย่านพระอาทิตย์ (ถ.พระอาทิตย์ บางลำพู)</t>
  </si>
  <si>
    <t>Nopparat Cuisine and Gallery</t>
  </si>
  <si>
    <t>130-7/132 ถ.พระอาทิตย์ ชนะสงคราม พระนคร</t>
  </si>
  <si>
    <t>อ-อา 11:00-14:30, 17:30-21:00 (ปิดจันทร์)</t>
  </si>
  <si>
    <t>+66 81 850 0770</t>
  </si>
  <si>
    <t>Arthit Noodle Club | ก๋วยเตี๋ยวต้มยำ</t>
  </si>
  <si>
    <t>47/1 ถ.พระอาทิตย์ ชนะสงคราม พระนคร</t>
  </si>
  <si>
    <t>ทุกวัน 09:00-19:00 (เสาร์)</t>
  </si>
  <si>
    <t>+66 92 250 0984</t>
  </si>
  <si>
    <t>Botanic Backyard Bar &amp; Restaurant</t>
  </si>
  <si>
    <t>25/1 ตรอกชนะสงคราม ซ.รามบุตรี หลังวัดชนะสงคราม</t>
  </si>
  <si>
    <t>ทุกวัน 10:00-24:00 (เสาร์)</t>
  </si>
  <si>
    <t>+66 89 973 9918</t>
  </si>
  <si>
    <t>Petit Soleil</t>
  </si>
  <si>
    <t>23 ถ.พระอาทิตย์ ชนะสงคราม พระนคร</t>
  </si>
  <si>
    <t>+66 86 303 2811</t>
  </si>
  <si>
    <t>The Sourdough Club</t>
  </si>
  <si>
    <t>47 ถ.พระอาทิตย์ ชนะสงคราม พระนคร</t>
  </si>
  <si>
    <t>ทุกวัน 08:00-17:00 (เสาร์)</t>
  </si>
  <si>
    <t>+66 89 788 5222</t>
  </si>
  <si>
    <t>Sheepshank Public House</t>
  </si>
  <si>
    <t>ทุกวัน 11:00-01:00 (เสาร์)</t>
  </si>
  <si>
    <t>+66 2 629 5165</t>
  </si>
  <si>
    <t>Coconut Culture Bangkok</t>
  </si>
  <si>
    <t>100/6 ถ.พระอาทิตย์ ชนะสงคราม พระนคร</t>
  </si>
  <si>
    <t>ทุกวัน 10:00-20:00 (เสาร์)</t>
  </si>
  <si>
    <t>+66 98 903 4714</t>
  </si>
  <si>
    <t>CIT Coconut Ice Cream</t>
  </si>
  <si>
    <t>อ-อา 10:00-17:30 (ปิดจันทร์)</t>
  </si>
  <si>
    <t>ร้านขนมไทย แม่งามจิต บางลำพู</t>
  </si>
  <si>
    <t>152 ถ.พระสุเมรุ ชนะสงคราม พระนคร</t>
  </si>
  <si>
    <t>ทุกวัน 09:00-18:00 (เสาร์)</t>
  </si>
  <si>
    <t>หอศิลปวัฒนธรรมแห่งกรุงเทพมหานคร (BACC)</t>
  </si>
  <si>
    <t>Pu Tie Shrimp Wonton Noodles (ปูตี๊ บะหมี่เกี๊ยวกุ้ง)</t>
  </si>
  <si>
    <t>933/1-7 ถ.พระราม 1 วังใหม่ ปทุมวัน</t>
  </si>
  <si>
    <t>อ-อา 11:00-18:40 (ปิดจันทร์)</t>
  </si>
  <si>
    <t>KrobKun (กรอบคุณ) ชั้น 2 BACC</t>
  </si>
  <si>
    <t>ชั้น 2 BACC 939 ถ.พระราม 1 วังใหม่ ปทุมวัน</t>
  </si>
  <si>
    <t>อ-อา 11:00-18:30 (ปิดจันทร์)</t>
  </si>
  <si>
    <t>+66 95 246 6942</t>
  </si>
  <si>
    <t>Le Pla Daak (เลอปลาแดก) ชั้น 4 BACC</t>
  </si>
  <si>
    <t>ชั้น 4 BACC 939 ถ.พระราม 1 วังใหม่ ปทุมวัน</t>
  </si>
  <si>
    <t>อ-อา 10:30-19:00 (ปิดจันทร์)</t>
  </si>
  <si>
    <t>+66 95 390 9245</t>
  </si>
  <si>
    <t>Gallery Drip Coffee</t>
  </si>
  <si>
    <t>BACC 939 ถ.พระราม 1 วังใหม่ ปทุมวัน</t>
  </si>
  <si>
    <t>อ-อา 10:30-19:30 (ปิดจันทร์)</t>
  </si>
  <si>
    <t>+66 81 917 2131</t>
  </si>
  <si>
    <t>Booms (ชั้น 3 BACC)</t>
  </si>
  <si>
    <t>ชั้น 3 BACC 939 ถ.พระราม 1 วังใหม่ ปทุมวัน</t>
  </si>
  <si>
    <t>อ-อา 10:00-19:00 (ปิดจันทร์)</t>
  </si>
  <si>
    <t>+66 92 394 5993</t>
  </si>
  <si>
    <t>LIBI HOME</t>
  </si>
  <si>
    <t>9 ซ.เกษมสันต์ 2 วังใหม่ ปทุมวัน</t>
  </si>
  <si>
    <t>+66 82 919 1591</t>
  </si>
  <si>
    <t>kanomsiam Siam Paragon (ขนมสยาม)</t>
  </si>
  <si>
    <t>ชั้น G สยามพารากอน 991 ถ.พระราม 1 ปทุมวัน</t>
  </si>
  <si>
    <t>ทุกวัน 10:00-22:00 (เสาร์)</t>
  </si>
  <si>
    <t>+66 62 936 5392</t>
  </si>
  <si>
    <t>Mil Toast House - Siam Square Soi 3</t>
  </si>
  <si>
    <t>สยามสแควร์ ซอย 3 ปทุมวัน</t>
  </si>
  <si>
    <t>+66 94 898 9999</t>
  </si>
  <si>
    <t>Siam Pandan</t>
  </si>
  <si>
    <t>สยามสแควร์ ซอย 6 ปทุมวัน</t>
  </si>
  <si>
    <t>ทุกวัน 10:30-20:00 (เสาร์)</t>
  </si>
  <si>
    <t>+66 86 563 1690</t>
  </si>
  <si>
    <t>Asiatique The Riverfront</t>
  </si>
  <si>
    <t>Sirimahannop (ศิริมหานพ)</t>
  </si>
  <si>
    <t>72 ถ.เจริญกรุง วัดพระยาไกร บางคอแหลม</t>
  </si>
  <si>
    <t>ทุกวัน 16:00-24:00 (เสาร์)</t>
  </si>
  <si>
    <t>+66 2 059 5999</t>
  </si>
  <si>
    <t>Sail To The Moon By Nakorn</t>
  </si>
  <si>
    <t>Asiatique 2194 ถ.เจริญกรุง บางคอแหลม</t>
  </si>
  <si>
    <t>+66 82 887 2251</t>
  </si>
  <si>
    <t>Happy Fish (โกดัง 8)</t>
  </si>
  <si>
    <t>Asiatique โกดัง 8 2194 ถ.เจริญกรุง บางคอแหลม</t>
  </si>
  <si>
    <t>ทุกวัน 12:00-24:00 (เสาร์)</t>
  </si>
  <si>
    <t>+66 90 959 5969</t>
  </si>
  <si>
    <t>Asiatique Ancient Tea House</t>
  </si>
  <si>
    <t>76 ซ.เจริญกรุง 72 วัดพระยาไกร บางคอแหลม</t>
  </si>
  <si>
    <t>La Fiore Cafe Asiatique</t>
  </si>
  <si>
    <t>Asiatique ชั้น 1 2194 ถ.เจริญกรุง บางคอแหลม</t>
  </si>
  <si>
    <t>ทุกวัน 14:00-24:00 (เสาร์)</t>
  </si>
  <si>
    <t>+66 94 346 5051</t>
  </si>
  <si>
    <t>Starbucks @ Asiatique The Riverfront</t>
  </si>
  <si>
    <t>ทุกวัน 08:00-22:00 (เสาร์)</t>
  </si>
  <si>
    <t>After You Dessert Cafe - Asiatique</t>
  </si>
  <si>
    <t>+66 63 840 9792</t>
  </si>
  <si>
    <t>Swensen's Asiatique River Front</t>
  </si>
  <si>
    <t>ทุกวัน 12:00-23:00 (เสาร์)</t>
  </si>
  <si>
    <t>+66 63 203 3170</t>
  </si>
  <si>
    <t>Make Me Mango Asiatique</t>
  </si>
  <si>
    <t>+66 94 869 2965</t>
  </si>
  <si>
    <t>ท้องฟ้าจำลองกรุงเทพ (เอกมัย)</t>
  </si>
  <si>
    <t>The Gardens of Dinsor Palace</t>
  </si>
  <si>
    <t>1217/2 ซ.ชุมพล คลองตันเหนือ วัฒนา</t>
  </si>
  <si>
    <t>+66 93 124 7730</t>
  </si>
  <si>
    <t>Pastalicious, Fresh Pasta &amp; Steaks</t>
  </si>
  <si>
    <t>67/2 สุขุมวิท 42 พระโขนง คลองเตย</t>
  </si>
  <si>
    <t>ทุกวัน 11:00-14:00, 17:00-21:00 (ปิดอังคาร)</t>
  </si>
  <si>
    <t>+66 98 887 0776</t>
  </si>
  <si>
    <t>SOUSAKU Sukhumvit 42</t>
  </si>
  <si>
    <t>สุขุมวิท 42 พระโขนง คลองเตย</t>
  </si>
  <si>
    <t>ทุกวัน 11:00-22:00 (เสาร์)</t>
  </si>
  <si>
    <t>+66 82 424 2822</t>
  </si>
  <si>
    <t>COS Cup of Sensory Cafe</t>
  </si>
  <si>
    <t>1221/2 คลองตันเหนือ วัฒนา</t>
  </si>
  <si>
    <t>อ-อา 08:00-17:00 (ปิดจันทร์)</t>
  </si>
  <si>
    <t>+66 64 250 6458</t>
  </si>
  <si>
    <t>A KEEN HOUSE</t>
  </si>
  <si>
    <t>4 ซ.สุขใจ สุขุมวิท 40 พระโขนง คลองเตย</t>
  </si>
  <si>
    <t>ทุกวัน 09:00-17:30 (เสาร์)</t>
  </si>
  <si>
    <t>+66 99 436 6535</t>
  </si>
  <si>
    <t>Folk Lane by Toby's Sukhumvit 38</t>
  </si>
  <si>
    <t>75 ซ.สันติสุข สุขุมวิท 38 พระโขนง คลองเตย</t>
  </si>
  <si>
    <t>+66 2 712 1774</t>
  </si>
  <si>
    <t>น้องแอ้ม ขนมหวาน ซอย 38</t>
  </si>
  <si>
    <t>ปากซ.สันติสุข สุขุมวิท 38 พระโขนง คลองเตย</t>
  </si>
  <si>
    <t>จ-ส 12:00-20:00 (ปิดอาทิตย์)</t>
  </si>
  <si>
    <t>+66 81 588 6598</t>
  </si>
  <si>
    <t>Nicolo Bakery Sukhumvit 42</t>
  </si>
  <si>
    <t>55/9 ซ.สมานจันทน์ สุขุมวิท 42 พระโขนง</t>
  </si>
  <si>
    <t>อ-อา 07:00-17:00 (ปิดจันทร์)</t>
  </si>
  <si>
    <t>MiKA Bakehouse &amp; Coffee - Ekkamai</t>
  </si>
  <si>
    <t>A101 18 สุขุมวิท 61 คลองตันเหนือ วัฒนา</t>
  </si>
  <si>
    <t>+66 94 474 6251</t>
  </si>
  <si>
    <t>สวนวชิรเบญจทัศ (สวนรถไฟ)</t>
  </si>
  <si>
    <t>Krua Nai Suan (ครัวในสวน) สวนรถไฟ</t>
  </si>
  <si>
    <t>ในสวนวชิรเบญจทัศ ถ.กำแพงเพชร 3 จตุจักร</t>
  </si>
  <si>
    <t>+66 83 849 7738</t>
  </si>
  <si>
    <t>Thitaree</t>
  </si>
  <si>
    <t>ซ.สวนรถไฟ จตุจักร</t>
  </si>
  <si>
    <t>ทุกวัน 08:00-21:00 (เสาร์)</t>
  </si>
  <si>
    <t>+66 86 334 1729</t>
  </si>
  <si>
    <t>TALES ME MORE</t>
  </si>
  <si>
    <t>บริเวณสวนรถไฟ จตุจักร</t>
  </si>
  <si>
    <t>+66 81 860 6589</t>
  </si>
  <si>
    <t>HEY! Beanstro (Oasis)</t>
  </si>
  <si>
    <t>199 อาคารโอเอซิส ถ.วิภาวดีรังสิต จอมพล จตุจักร</t>
  </si>
  <si>
    <t>ทุกวัน 07:00-23:00</t>
  </si>
  <si>
    <t>+66 82 297 9288</t>
  </si>
  <si>
    <t>Narisa Cafe &amp; Creative Space</t>
  </si>
  <si>
    <t>5 ซ.พิมนต์ จตุจักร</t>
  </si>
  <si>
    <t>จ,อ,พฤ-ศ 10:00-18:00, 18:30-20:30 (ปิดพุธ) / ส-อา 09:00-17:00, 17:30-21:00</t>
  </si>
  <si>
    <t>+66 95 339 6365</t>
  </si>
  <si>
    <t>Daisycafebkk 2nd floor cafe &amp; bake house</t>
  </si>
  <si>
    <t>1032/67 ซ.พหลโยธิน 18/1 จอมพล จตุจักร</t>
  </si>
  <si>
    <t>จ-ศ 09:30-18:00 / ส-อา 10:00-18:00</t>
  </si>
  <si>
    <t>+66 94 339 9159</t>
  </si>
  <si>
    <t>Krua Thip Kanom Thai (ครัวทิพย์ขนมไทย)</t>
  </si>
  <si>
    <t>189/44 ซ.ลาดพร้าว 1 จอมพล จตุจักร</t>
  </si>
  <si>
    <t>จ-ส 07:00-17:00 / อา 07:00-16:00</t>
  </si>
  <si>
    <t>+66 2 513 3698</t>
  </si>
  <si>
    <t>Bowcake โบว์เค้ก เซ็นทรัลลาดพร้าว</t>
  </si>
  <si>
    <t>ชั้น G Tops Market เซ็นทรัลลาดพร้าว 1693 ถ.พหลโยธิน</t>
  </si>
  <si>
    <t>+66 87 059 0094</t>
  </si>
  <si>
    <t>butter bakery ladprao18</t>
  </si>
  <si>
    <t>35/37 ซ.ลาดพร้าว 18 แยก 10 จอมพล จตุจักร</t>
  </si>
  <si>
    <t>ทุกวัน 08:00-17:00</t>
  </si>
  <si>
    <t>+66 64 935 2949</t>
  </si>
  <si>
    <t>สวนเบญจกิติ</t>
  </si>
  <si>
    <t>Zaab Kak Kak</t>
  </si>
  <si>
    <t>37 ซ.สุขุมวิท 16 คลองเตย</t>
  </si>
  <si>
    <t>จ-ส 11:00-22:00 (ปิดอาทิตย์)</t>
  </si>
  <si>
    <t>+66 89 955 6445</t>
  </si>
  <si>
    <t>PEPE Bangkok</t>
  </si>
  <si>
    <t>173/3 ซ.สุขุมวิท 16 คลองเตย</t>
  </si>
  <si>
    <t>ทุกวัน 17:00-24:00 (เสาร์)</t>
  </si>
  <si>
    <t>+66 84 264 9291</t>
  </si>
  <si>
    <t>VIVIN Suk 22 - café grocery bistro</t>
  </si>
  <si>
    <t>267/5 ซ.สุขุมวิท 22 คลองตัน คลองเตย</t>
  </si>
  <si>
    <t>+66 85 853 0317</t>
  </si>
  <si>
    <t>Lazy Daisy Brunch and Bar</t>
  </si>
  <si>
    <t>51 ซ.สุขุมวิท 16 คลองเตย</t>
  </si>
  <si>
    <t>ทุกวัน 06:00-24:00 (เสาร์)</t>
  </si>
  <si>
    <t>+66 94 466 4254</t>
  </si>
  <si>
    <t>Bru Cafe</t>
  </si>
  <si>
    <t>47 ซ.สุขุมวิท 20 คลองเตย</t>
  </si>
  <si>
    <t>+66 85 832 2316</t>
  </si>
  <si>
    <t>Greydient &amp; Them - coffee cafe space</t>
  </si>
  <si>
    <t>6/25 ถ.รัชดาภิเษก คลองเตย</t>
  </si>
  <si>
    <t>+66 61 393 9146</t>
  </si>
  <si>
    <t>Rintaro (Emsphere G)</t>
  </si>
  <si>
    <t>Emsphere ชั้น G ถ.สุขุมวิท คลองตัน คลองเตย</t>
  </si>
  <si>
    <t>+66 65 929 2253</t>
  </si>
  <si>
    <t>ไอติมกะทิ เมืองกรุง Mueng Krung Coconut Icecream (Terminal 21)</t>
  </si>
  <si>
    <t>Terminal 21 อโศก ชั้น 5 Pier 21 สุขุมวิท 19</t>
  </si>
  <si>
    <t>+66 98 814 9424</t>
  </si>
  <si>
    <t>Gelato &amp; Co Autentica Ricetta Italiana</t>
  </si>
  <si>
    <t>53 ซ.สุขุมวิท 39 คลองตันเหนือ วัฒนา</t>
  </si>
  <si>
    <t>+66 63 901 1149</t>
  </si>
  <si>
    <t>ตลาดจตุจักร</t>
  </si>
  <si>
    <t>วันวิน บะหมี่ปู ONEWIN CRAB NOODLES</t>
  </si>
  <si>
    <t>ตลาดนัดจตุจักร จตุจักร</t>
  </si>
  <si>
    <t>อ-อา 08:30-22:00 (ปิดจันทร์)</t>
  </si>
  <si>
    <t>+66 98 264 5686</t>
  </si>
  <si>
    <t>ก๋วยเตี๋ยวหมูสนั่น (สูตรผู้พันเป้ง) หลังตลาด อ.ต.ก.</t>
  </si>
  <si>
    <t>หลังตลาด อ.ต.ก. ติดประตู 4 101 ถ.กำแพงเพชร</t>
  </si>
  <si>
    <t>ทุกวัน 08:30-17:00 (ปิดพุธ)</t>
  </si>
  <si>
    <t>+66 95 705 9542</t>
  </si>
  <si>
    <t>LARDER Chatuchak</t>
  </si>
  <si>
    <t>18 ถ.กำแพงเพชร จตุจักร</t>
  </si>
  <si>
    <t>ทุกวัน 07:00-17:00, 18:00-23:00</t>
  </si>
  <si>
    <t>+66 82 114 6964</t>
  </si>
  <si>
    <t>Dusha Cafe (Chatuchak Mixt)</t>
  </si>
  <si>
    <t>Chatuchak Mixt ถ.กำแพงเพชร 3 จตุจักร</t>
  </si>
  <si>
    <t>ทุกวัน 10:00-20:30 (เสาร์)</t>
  </si>
  <si>
    <t>+66 92 689 1370</t>
  </si>
  <si>
    <t>Café mystère คาเฟ่มิสแตร์</t>
  </si>
  <si>
    <t>431 ลาดยาว จตุจักร</t>
  </si>
  <si>
    <t>อ-อา 09:00-18:00 (ปิดจันทร์)</t>
  </si>
  <si>
    <t>+66 81 929 6549</t>
  </si>
  <si>
    <t>TRAVELLER The Coffee Shop</t>
  </si>
  <si>
    <t>MRT กำแพงเพชร ประตู 1 ถ.กำแพงเพชร</t>
  </si>
  <si>
    <t>ทุกวัน 08:00-18:30 (ปิดอังคาร)</t>
  </si>
  <si>
    <t>Heart Rock CoConut Ice cream</t>
  </si>
  <si>
    <t>โครงการ 21 ตลาดนัดจตุจักร</t>
  </si>
  <si>
    <t>ศ 15:30-23:00 / ส-อา 08:30-23:00 (ปิดจันทร์-พฤหัสบดี)</t>
  </si>
  <si>
    <t>+66 61 619 5909</t>
  </si>
  <si>
    <t>Coconut Ice Cream Chatuchak</t>
  </si>
  <si>
    <t>Swensen's Mixt Chatuchak</t>
  </si>
  <si>
    <t>8 ถ.กำแพงเพชร 3 จตุจักร</t>
  </si>
  <si>
    <t>+66 85 803 2820</t>
  </si>
  <si>
    <t>สยามพารากอน</t>
  </si>
  <si>
    <t>Kaneko Hannosuke Siam Paragon</t>
  </si>
  <si>
    <t>ชั้น 4 สยามพารากอน 991 ถ.พระราม 1 ปทุมวัน</t>
  </si>
  <si>
    <t>+66 98 559 2694</t>
  </si>
  <si>
    <t>Sot Siam Paragon - Korean Pot Rice</t>
  </si>
  <si>
    <t>+66 82 105 9971</t>
  </si>
  <si>
    <t>MAGURO Kappou สาขา Siam Paragon</t>
  </si>
  <si>
    <t>+66 83 926 6452</t>
  </si>
  <si>
    <t>Bacha Coffee Siam Paragon</t>
  </si>
  <si>
    <t>G15 สยามพารากอน 991 ถ.พระราม 1 ปทุมวัน</t>
  </si>
  <si>
    <t>+66 91 783 9998</t>
  </si>
  <si>
    <t>The Summer Coffee Siam Paragon</t>
  </si>
  <si>
    <t>สยามพารากอน ถ.พระราม 1 ปทุมวัน</t>
  </si>
  <si>
    <t>Karun Thai Tea Siam Paragon</t>
  </si>
  <si>
    <t>ชั้น G สยามพารากอน 991/1 ถ.พระราม 1 ปทุมวัน</t>
  </si>
  <si>
    <t>ทุกวัน 10:00-21:30</t>
  </si>
  <si>
    <t>+66 82 939 4564</t>
  </si>
  <si>
    <t>Luscious Creamery Siam Paragon</t>
  </si>
  <si>
    <t>+66 64 945 8057</t>
  </si>
  <si>
    <t>ขนมไทย หยกสด ใบเตยแท้ 100% - Siam Paragon</t>
  </si>
  <si>
    <t>ชั้น G Gourmet Market สยามพารากอน</t>
  </si>
  <si>
    <t>+66 61 272 4990</t>
  </si>
  <si>
    <t>Pang Cha Cafe Siam Paragon</t>
  </si>
  <si>
    <t>+66 2 028 8323</t>
  </si>
  <si>
    <t>ไอคอนสยาม</t>
  </si>
  <si>
    <t>KJP - KHAO JAAN PROD (ICONSIAM)</t>
  </si>
  <si>
    <t>ชั้น 2 ห้อง 211 ICONSIAM 299 ถ.เจริญนคร คลองต้นไทร</t>
  </si>
  <si>
    <t>+66 65 710 9999</t>
  </si>
  <si>
    <t>Bread Street Kitchen &amp; Bar - ICONSIAM</t>
  </si>
  <si>
    <t>ชั้น 3 ICONSIAM 299 ถ.เจริญนคร คลองต้นไทร</t>
  </si>
  <si>
    <t>ทุกวัน 11:30-22:00 (เสาร์)</t>
  </si>
  <si>
    <t>+66 92 271 9995</t>
  </si>
  <si>
    <t>Tonkatsu AOKI @ICONSIAM</t>
  </si>
  <si>
    <t>ชั้น 4 ICON EATS ICONSIAM 299 ถ.เจริญนคร</t>
  </si>
  <si>
    <t>Bacha Coffee ICONSIAM</t>
  </si>
  <si>
    <t>ชั้น G ห้อง LG04/1 ICONSIAM 299 ถ.เจริญนคร</t>
  </si>
  <si>
    <t>+66 95 716 9998</t>
  </si>
  <si>
    <t>BEANS Coffee Roaster Iconsiam</t>
  </si>
  <si>
    <t>ชั้น G โซน Veranda ICONSIAM</t>
  </si>
  <si>
    <t>ทุกวัน 10:00-21:00 (เสาร์)</t>
  </si>
  <si>
    <t>SUPER MATCHA, ICONSIAM</t>
  </si>
  <si>
    <t>299 ถ.เจริญนคร ซ.เจริญนคร 5 คลองต้นไทร</t>
  </si>
  <si>
    <t>Pang Cha (ICONSIAM)</t>
  </si>
  <si>
    <t>ชั้น G ICONSIAM 299 ซ.เจริญนคร 5</t>
  </si>
  <si>
    <t>+66 2 288 0729</t>
  </si>
  <si>
    <t>Blendies ICONSIAM</t>
  </si>
  <si>
    <t>ถ.เจริญนคร คลองต้นไทร</t>
  </si>
  <si>
    <t>+66 93 665 9295</t>
  </si>
  <si>
    <t>Chamin Cookies &amp; Gelato - ICONSIAM</t>
  </si>
  <si>
    <t>ชั้น 6 ICONSIAM 299 ถ.เจริญนคร</t>
  </si>
  <si>
    <t>+66 63 240 7425</t>
  </si>
  <si>
    <t>สวนสยาม (Siam Amazing Park)</t>
  </si>
  <si>
    <t>สามเวลา สวนสยาม ซอย 11</t>
  </si>
  <si>
    <t>219 ซ.สวนสยาม 11 คันนายาว</t>
  </si>
  <si>
    <t>ทุกวัน 10:30-19:00</t>
  </si>
  <si>
    <t>อีสานบ้านเฮา ร้านลาบอุบล ตลาดสวนสยาม</t>
  </si>
  <si>
    <t>202 ถ.สวนสยาม คันนายาว</t>
  </si>
  <si>
    <t>ทุกวัน 11:00-02:00</t>
  </si>
  <si>
    <t>+66 63 718 6886</t>
  </si>
  <si>
    <t>ข้าวต้มบาทเดียว</t>
  </si>
  <si>
    <t>ถ.สวนสยาม คันนายาว</t>
  </si>
  <si>
    <t>ทุกวัน 14:30-23:30</t>
  </si>
  <si>
    <t>+66 65 093 6323</t>
  </si>
  <si>
    <t>deed caffe - Coffee &amp; Roaster</t>
  </si>
  <si>
    <t>8/28 ซ.สวนสยาม 11 แยก 2 คันนายาว</t>
  </si>
  <si>
    <t>ทุกวัน 07:00-17:00</t>
  </si>
  <si>
    <t>+66 88 155 6165</t>
  </si>
  <si>
    <t>Café Amazon สาขาสวนสยาม (SD3967)</t>
  </si>
  <si>
    <t>222 ถ.สวนสยาม คันนายาว</t>
  </si>
  <si>
    <t>ทุกวัน 06:00-17:00</t>
  </si>
  <si>
    <t>+66 92 719 7000</t>
  </si>
  <si>
    <t>Hob &amp; Coff cafe and social bar</t>
  </si>
  <si>
    <t>219/112/11 ถ.สวนสยาม คันนายาว</t>
  </si>
  <si>
    <t>จ-ส 07:00-18:00 / อา 08:00-18:00</t>
  </si>
  <si>
    <t>+66 95 715 2066</t>
  </si>
  <si>
    <t>TOKYO JAMMOM</t>
  </si>
  <si>
    <t>220/2 ซ.สวนสยาม 16 คันนายาว</t>
  </si>
  <si>
    <t>ทุกวัน 11:30-21:30</t>
  </si>
  <si>
    <t>+66 96 395 0253</t>
  </si>
  <si>
    <t>นุ้ยนมสด เครปเจ๊เพิ่ม</t>
  </si>
  <si>
    <t>112/3 ถ.สวนสยาม คันนายาว</t>
  </si>
  <si>
    <t>จ,พ-อา 14:00-21:00 (ศ-อา ถึง 22:00; ปิดอังคาร)</t>
  </si>
  <si>
    <t>+66 84 292 3995</t>
  </si>
  <si>
    <t>บ้านขนมไทยสยาม</t>
  </si>
  <si>
    <t>37 ซ.สวนสยาม 3 คันนายาว</t>
  </si>
  <si>
    <t>พ-อา 07:30-12:00 (ปิดจันทร์-อังคาร)</t>
  </si>
  <si>
    <t>+66 64 308 9650</t>
  </si>
  <si>
    <t>สะพานพระพุทธยอดฟ้า (สะพานพุทธ)</t>
  </si>
  <si>
    <t>ภู Kitchen สวนอาหารริมแม่น้ำเจ้าพระยา</t>
  </si>
  <si>
    <t>2/16 ถ.จักรวรรดิ จักรวรรดิ สัมพันธวงศ์</t>
  </si>
  <si>
    <t>+66 82 208 7556</t>
  </si>
  <si>
    <t>NAGIYA Yodpiman Riverwalk</t>
  </si>
  <si>
    <t>390/20 ถ.บ้านหม้อ วังบูรพาภิรมย์ พระนคร</t>
  </si>
  <si>
    <t>อ-อา 17:00-23:00 (ปิดจันทร์)</t>
  </si>
  <si>
    <t>+66 80 823 7727</t>
  </si>
  <si>
    <t>BBQ RoofTop River View</t>
  </si>
  <si>
    <t>216 ถ.ทรงวาด จักรวรรดิ สัมพันธวงศ์</t>
  </si>
  <si>
    <t>ทุกวัน 15:00-24:00 (เสาร์)</t>
  </si>
  <si>
    <t>+66 92 789 9545</t>
  </si>
  <si>
    <t>5 a.m.</t>
  </si>
  <si>
    <t>212 ถ.บ้านหม้อ วังบูรพาภิรมย์ พระนคร</t>
  </si>
  <si>
    <t>อ-อา 09:00-21:00 (ปิดจันทร์)</t>
  </si>
  <si>
    <t>+66 64 642 6615</t>
  </si>
  <si>
    <t>Floral Café at Napasorn</t>
  </si>
  <si>
    <t>67 ถ.จักรเพชร วังบูรพาภิรมย์ พระนคร</t>
  </si>
  <si>
    <t>+66 99 468 4899</t>
  </si>
  <si>
    <t>Farm to Table, Organic Cafe</t>
  </si>
  <si>
    <t>179 ถ.อัษฎางค์ วังบูรพาภิรมย์ พระนคร</t>
  </si>
  <si>
    <t>ทุกวัน 09:00-19:00 (ปิดพุธ)</t>
  </si>
  <si>
    <t>+66 2 115 2625</t>
  </si>
  <si>
    <t>FARM to TABLE, Hideout</t>
  </si>
  <si>
    <t>15 ซ.ท่ากลาง วังบูรพาภิรมย์ พระนคร</t>
  </si>
  <si>
    <t>+66 2 004 8771</t>
  </si>
  <si>
    <t>Yai Thum Hai Laan Kai</t>
  </si>
  <si>
    <t>240 ท่าเรือ ถ.อัษฎางค์ วังบูรพาภิรมย์ พระนคร</t>
  </si>
  <si>
    <t>อ-อา 08:00-19:00 (ปิดจันทร์)</t>
  </si>
  <si>
    <t>+66 92 605 9145</t>
  </si>
  <si>
    <t>Mi Thai Dessert</t>
  </si>
  <si>
    <t>538 ตรอกโรงโคม สัมพันธวงศ์ (ติดโรงเรียนเผยอิง)</t>
  </si>
  <si>
    <t>+66 95 818 2919</t>
  </si>
  <si>
    <t>รวม</t>
  </si>
  <si>
    <t>รวมทั้งหมด</t>
  </si>
  <si>
    <t>หัวข้อ</t>
  </si>
  <si>
    <t>รายละเอียด</t>
  </si>
  <si>
    <t>ที่มาข้อมูล</t>
  </si>
  <si>
    <t>ข้อมูลร้านค้า พิกัด เวลาทำการ เบอร์โทร และรหัสสถานที่ (place_id) ดึงจาก Google Places (Google Maps) เมื่อวันที่ 3 ต.ค. 2569</t>
  </si>
  <si>
    <t>นิยามคำว่า "เปิดให้บริการ"</t>
  </si>
  <si>
    <t>ร้านมีสถานะประกอบกิจการอยู่ใน Google Maps (ไม่ใช่ปิดถาวร/ปิดชั่วคราว) และมีวัน-เวลาทำการระบุไว้ ไม่ได้โทรยืนยันกับร้านรายร้าน แนะนำให้เช็กเวลาล่าสุดจากลิงก์ก่อนเดินทาง</t>
  </si>
  <si>
    <t>ร้านที่เปิดเฉพาะบางวัน</t>
  </si>
  <si>
    <t>ดูคอลัมน์ "วัน-เวลาเปิดให้บริการ" เช่น ร้านปิดวันจันทร์/อังคาร/พุธ/อาทิตย์ ร้านในตลาดจตุจักรบางร้านเปิดเฉพาะเสาร์-อาทิตย์ และบางร้านเปิดเฉพาะช่วงเย็น</t>
  </si>
  <si>
    <t>พิกัด</t>
  </si>
  <si>
    <t>ละติจูด/ลองจิจูดของแต่ละร้านมาจาก Google Maps (WGS84) ส่วนพิกัดแหล่งท่องเที่ยวอยู่ในชีต "แหล่งท่องเที่ยว"</t>
  </si>
  <si>
    <t>ระยะห่าง</t>
  </si>
  <si>
    <t>คำนวณเป็นระยะทางเส้นตรง (Haversine) จากจุดอ้างอิงแหล่งท่องเที่ยวถึงร้าน ไม่ใช่ระยะเดินจริง</t>
  </si>
  <si>
    <t>ลิงก์</t>
  </si>
  <si>
    <t>ลิงก์ Google Maps สร้างจากรหัสสถานที่ของแต่ละร้าน คลิกแล้วเปิดตำแหน่งร้านนั้นโดยตรง</t>
  </si>
  <si>
    <t>คลองบางหลวง</t>
  </si>
  <si>
    <t>ตีความเป็นย่านคลองบางหลวง-บ้านศิลปิน/ตลาดน้ำคลองบางหลวง (ซ.เพชรเกษม 20 เขตภาษีเจริญ) หากหมายถึงจุดอื่นของคลองบางหลวง (เช่น ฝั่งบางกอกน้อย) แจ้งได้เพื่อค้นหาใหม่</t>
  </si>
  <si>
    <t>สวนสยาม</t>
  </si>
  <si>
    <t>Google Maps แสดงชื่อ Siam Amazing Park (เขตคันนายาว) ใช้พิกัดนั้นเป็นจุดอ้างอิง</t>
  </si>
  <si>
    <t>ผู้ใช้ระบุซ้ำ 2 ครั้งในรายการ นับเป็นแหล่งเดียว รวมแหล่งท่องเที่ยวทั้งหมด 19 แห่ง</t>
  </si>
  <si>
    <t>ห้างสรรพสินค้า</t>
  </si>
  <si>
    <t>ร้านใน Siam Paragon / ICONSIAM อยู่ภายในห้างหรือบริเวณรอบห้าง ระยะเส้นตรงบางร้านอยู่ห่าง 0.5-1.5 กม.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</si>
</sst>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7" formatCode="0.00000"/>
  </numFmts>
  <fonts count="5" x14ac:knownFonts="1">
    <font>
      <sz val="11"/>
      <color theme="1"/>
      <name val="Calibri"/>
      <family val="2"/>
      <charset val="1"/>
    </font>
    <font>
      <b/>
      <sz val="11"/>
      <color rgb="FFFFFFFF"/>
      <name val="Arial"/>
      <family val="2"/>
    </font>
    <font>
      <sz val="10"/>
      <name val="Arial"/>
      <family val="2"/>
    </font>
    <font>
      <u/>
      <sz val="10"/>
      <color rgb="FF0563C1"/>
      <name val="Arial"/>
      <family val="2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CE4D6"/>
        <bgColor rgb="FFFFF2CC"/>
      </patternFill>
    </fill>
    <fill>
      <patternFill patternType="solid">
        <fgColor rgb="FFDDEBF7"/>
        <bgColor rgb="FFCCFFFF"/>
      </patternFill>
    </fill>
    <fill>
      <patternFill patternType="solid">
        <fgColor rgb="FFFFF2CC"/>
        <bgColor rgb="FFFCE4D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vertical="top" wrapText="1"/>
    </xf>
    <xf numFmtId="0" fontId="2" fillId="3" borderId="1" xfId="0" applyFont="1" applyFill="1" applyBorder="1" applyAlignment="1">
      <alignment horizontal="center" vertical="top"/>
    </xf>
    <xf numFmtId="187" fontId="2" fillId="0" borderId="1" xfId="0" applyNumberFormat="1" applyFont="1" applyBorder="1" applyAlignment="1">
      <alignment horizontal="center" vertical="top"/>
    </xf>
    <xf numFmtId="2" fontId="2" fillId="0" borderId="1" xfId="0" applyNumberFormat="1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2" fillId="4" borderId="1" xfId="0" applyFont="1" applyFill="1" applyBorder="1" applyAlignment="1">
      <alignment horizontal="center" vertical="top"/>
    </xf>
    <xf numFmtId="0" fontId="2" fillId="5" borderId="1" xfId="0" applyFont="1" applyFill="1" applyBorder="1" applyAlignment="1">
      <alignment horizontal="center" vertical="top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187" fontId="2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vertical="center" wrapText="1"/>
    </xf>
    <xf numFmtId="187" fontId="4" fillId="0" borderId="1" xfId="0" applyNumberFormat="1" applyFont="1" applyBorder="1" applyAlignment="1">
      <alignment horizontal="center" vertical="center"/>
    </xf>
    <xf numFmtId="0" fontId="1" fillId="2" borderId="1" xfId="0" applyFont="1" applyFill="1" applyBorder="1"/>
    <xf numFmtId="0" fontId="4" fillId="0" borderId="1" xfId="0" applyFont="1" applyBorder="1" applyAlignment="1">
      <alignment vertical="top" wrapText="1"/>
    </xf>
  </cellXfs>
  <cellStyles count="1">
    <cellStyle name="ปกติ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72"/>
  <sheetViews>
    <sheetView tabSelected="1" zoomScaleNormal="100" workbookViewId="0">
      <pane xSplit="4" ySplit="1" topLeftCell="G2" activePane="bottomRight" state="frozen"/>
      <selection pane="topRight" activeCell="E1" sqref="E1"/>
      <selection pane="bottomLeft" activeCell="A2" sqref="A2"/>
      <selection pane="bottomRight"/>
    </sheetView>
  </sheetViews>
  <sheetFormatPr defaultColWidth="8.6640625" defaultRowHeight="14.4" x14ac:dyDescent="0.3"/>
  <cols>
    <col min="1" max="1" width="7" customWidth="1"/>
    <col min="2" max="2" width="34" customWidth="1"/>
    <col min="3" max="3" width="15" customWidth="1"/>
    <col min="4" max="4" width="40" customWidth="1"/>
    <col min="5" max="6" width="11" customWidth="1"/>
    <col min="7" max="7" width="24.6640625" customWidth="1"/>
    <col min="8" max="8" width="42" customWidth="1"/>
    <col min="9" max="9" width="40" customWidth="1"/>
    <col min="10" max="10" width="17" customWidth="1"/>
    <col min="11" max="11" width="22" customWidth="1"/>
    <col min="12" max="12" width="30" customWidth="1"/>
  </cols>
  <sheetData>
    <row r="1" spans="1:12" ht="36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26.4" x14ac:dyDescent="0.3">
      <c r="A2" s="2">
        <v>1</v>
      </c>
      <c r="B2" s="3" t="s">
        <v>12</v>
      </c>
      <c r="C2" s="4" t="s">
        <v>13</v>
      </c>
      <c r="D2" s="3" t="s">
        <v>14</v>
      </c>
      <c r="E2" s="5">
        <v>13.7239054</v>
      </c>
      <c r="F2" s="5">
        <v>100.5286479</v>
      </c>
      <c r="G2" s="6">
        <v>0.02</v>
      </c>
      <c r="H2" s="3" t="s">
        <v>15</v>
      </c>
      <c r="I2" s="3" t="s">
        <v>16</v>
      </c>
      <c r="J2" s="3" t="s">
        <v>17</v>
      </c>
      <c r="K2" s="7" t="str">
        <f>HYPERLINK("https://www.google.com/maps/search/?api=1&amp;query=Mahanakhon%20Eatery&amp;query_place_id=ChIJpYfHXaef4jARpiefh3BHf1k","เปิดแผนที่")</f>
        <v>เปิดแผนที่</v>
      </c>
      <c r="L2" s="3" t="s">
        <v>18</v>
      </c>
    </row>
    <row r="3" spans="1:12" ht="26.4" x14ac:dyDescent="0.3">
      <c r="A3" s="2">
        <v>2</v>
      </c>
      <c r="B3" s="3" t="s">
        <v>12</v>
      </c>
      <c r="C3" s="4" t="s">
        <v>13</v>
      </c>
      <c r="D3" s="3" t="s">
        <v>19</v>
      </c>
      <c r="E3" s="5">
        <v>13.723859900000001</v>
      </c>
      <c r="F3" s="5">
        <v>100.5286813</v>
      </c>
      <c r="G3" s="6">
        <v>0.03</v>
      </c>
      <c r="H3" s="3" t="s">
        <v>20</v>
      </c>
      <c r="I3" s="3" t="s">
        <v>21</v>
      </c>
      <c r="J3" s="3" t="s">
        <v>22</v>
      </c>
      <c r="K3" s="7" t="str">
        <f>HYPERLINK("https://www.google.com/maps/search/?api=1&amp;query=Babyccino%20Mahanakhon&amp;query_place_id=ChIJL_Skva2Z4jARptt0z0enAIM","เปิดแผนที่")</f>
        <v>เปิดแผนที่</v>
      </c>
      <c r="L3" s="3" t="s">
        <v>18</v>
      </c>
    </row>
    <row r="4" spans="1:12" ht="26.4" x14ac:dyDescent="0.3">
      <c r="A4" s="2">
        <v>3</v>
      </c>
      <c r="B4" s="3" t="s">
        <v>12</v>
      </c>
      <c r="C4" s="4" t="s">
        <v>13</v>
      </c>
      <c r="D4" s="3" t="s">
        <v>23</v>
      </c>
      <c r="E4" s="5">
        <v>13.7235301</v>
      </c>
      <c r="F4" s="5">
        <v>100.52829560000001</v>
      </c>
      <c r="G4" s="6">
        <v>0.06</v>
      </c>
      <c r="H4" s="3" t="s">
        <v>24</v>
      </c>
      <c r="I4" s="3" t="s">
        <v>25</v>
      </c>
      <c r="J4" s="3" t="s">
        <v>26</v>
      </c>
      <c r="K4" s="7" t="str">
        <f>HYPERLINK("https://www.google.com/maps/search/?api=1&amp;query=The%20Standard%20Grill&amp;query_place_id=ChIJtzsv7T2Z4jAR2fSNVxk9_Jc","เปิดแผนที่")</f>
        <v>เปิดแผนที่</v>
      </c>
      <c r="L4" s="3" t="s">
        <v>18</v>
      </c>
    </row>
    <row r="5" spans="1:12" ht="26.4" x14ac:dyDescent="0.3">
      <c r="A5" s="2">
        <v>4</v>
      </c>
      <c r="B5" s="3" t="s">
        <v>12</v>
      </c>
      <c r="C5" s="8" t="s">
        <v>27</v>
      </c>
      <c r="D5" s="3" t="s">
        <v>28</v>
      </c>
      <c r="E5" s="5">
        <v>13.7263512</v>
      </c>
      <c r="F5" s="5">
        <v>100.52680770000001</v>
      </c>
      <c r="G5" s="6">
        <v>0.32</v>
      </c>
      <c r="H5" s="3" t="s">
        <v>29</v>
      </c>
      <c r="I5" s="3" t="s">
        <v>30</v>
      </c>
      <c r="J5" s="3" t="s">
        <v>31</v>
      </c>
      <c r="K5" s="7" t="str">
        <f>HYPERLINK("https://www.google.com/maps/search/?api=1&amp;query=Sugar%20Bliss%20Coffee%20%26%20Brunch%20%28Ashton%20Silom%29&amp;query_place_id=ChIJ_9mRbwqZ4jAR5qjatMOK910","เปิดแผนที่")</f>
        <v>เปิดแผนที่</v>
      </c>
      <c r="L5" s="3" t="s">
        <v>18</v>
      </c>
    </row>
    <row r="6" spans="1:12" ht="26.4" x14ac:dyDescent="0.3">
      <c r="A6" s="2">
        <v>5</v>
      </c>
      <c r="B6" s="3" t="s">
        <v>12</v>
      </c>
      <c r="C6" s="8" t="s">
        <v>27</v>
      </c>
      <c r="D6" s="3" t="s">
        <v>32</v>
      </c>
      <c r="E6" s="5">
        <v>13.7274251</v>
      </c>
      <c r="F6" s="5">
        <v>100.53328860000001</v>
      </c>
      <c r="G6" s="6">
        <v>0.64</v>
      </c>
      <c r="H6" s="3" t="s">
        <v>33</v>
      </c>
      <c r="I6" s="3" t="s">
        <v>34</v>
      </c>
      <c r="J6" s="3" t="s">
        <v>35</v>
      </c>
      <c r="K6" s="7" t="str">
        <f>HYPERLINK("https://www.google.com/maps/search/?api=1&amp;query=Still%20Bean%20%E2%80%94%20Silom&amp;query_place_id=ChIJpY1mWCaf4jARIHPxN0HALGc","เปิดแผนที่")</f>
        <v>เปิดแผนที่</v>
      </c>
      <c r="L6" s="3" t="s">
        <v>18</v>
      </c>
    </row>
    <row r="7" spans="1:12" ht="26.4" x14ac:dyDescent="0.3">
      <c r="A7" s="2">
        <v>6</v>
      </c>
      <c r="B7" s="3" t="s">
        <v>12</v>
      </c>
      <c r="C7" s="8" t="s">
        <v>27</v>
      </c>
      <c r="D7" s="3" t="s">
        <v>36</v>
      </c>
      <c r="E7" s="5">
        <v>13.7278606</v>
      </c>
      <c r="F7" s="5">
        <v>100.5335331</v>
      </c>
      <c r="G7" s="6">
        <v>0.69</v>
      </c>
      <c r="H7" s="3" t="s">
        <v>37</v>
      </c>
      <c r="I7" s="3" t="s">
        <v>38</v>
      </c>
      <c r="J7" s="3" t="s">
        <v>39</v>
      </c>
      <c r="K7" s="7" t="str">
        <f>HYPERLINK("https://www.google.com/maps/search/?api=1&amp;query=GATTA%20Cafe%20%28Park%20Silom%29%20-%20Specialty%20Coffee&amp;query_place_id=ChIJ54yK4R2f4jARqeeHInvT16Y","เปิดแผนที่")</f>
        <v>เปิดแผนที่</v>
      </c>
      <c r="L7" s="3" t="s">
        <v>18</v>
      </c>
    </row>
    <row r="8" spans="1:12" ht="26.4" x14ac:dyDescent="0.3">
      <c r="A8" s="2">
        <v>7</v>
      </c>
      <c r="B8" s="3" t="s">
        <v>12</v>
      </c>
      <c r="C8" s="9" t="s">
        <v>40</v>
      </c>
      <c r="D8" s="3" t="s">
        <v>41</v>
      </c>
      <c r="E8" s="5">
        <v>13.724035000000001</v>
      </c>
      <c r="F8" s="5">
        <v>100.52959629999999</v>
      </c>
      <c r="G8" s="6">
        <v>0.12</v>
      </c>
      <c r="H8" s="3" t="s">
        <v>42</v>
      </c>
      <c r="I8" s="3" t="s">
        <v>43</v>
      </c>
      <c r="J8" s="3" t="s">
        <v>44</v>
      </c>
      <c r="K8" s="7" t="str">
        <f>HYPERLINK("https://www.google.com/maps/search/?api=1&amp;query=Brioche%20from%20Heaven&amp;query_place_id=ChIJsbfRmjGZ4jARcKFHjhSe1ls","เปิดแผนที่")</f>
        <v>เปิดแผนที่</v>
      </c>
      <c r="L8" s="3" t="s">
        <v>18</v>
      </c>
    </row>
    <row r="9" spans="1:12" ht="26.4" x14ac:dyDescent="0.3">
      <c r="A9" s="2">
        <v>8</v>
      </c>
      <c r="B9" s="3" t="s">
        <v>12</v>
      </c>
      <c r="C9" s="9" t="s">
        <v>40</v>
      </c>
      <c r="D9" s="3" t="s">
        <v>45</v>
      </c>
      <c r="E9" s="5">
        <v>13.7284734</v>
      </c>
      <c r="F9" s="5">
        <v>100.5350383</v>
      </c>
      <c r="G9" s="6">
        <v>0.86</v>
      </c>
      <c r="H9" s="3" t="s">
        <v>46</v>
      </c>
      <c r="I9" s="3" t="s">
        <v>47</v>
      </c>
      <c r="J9" s="3" t="s">
        <v>48</v>
      </c>
      <c r="K9" s="7" t="str">
        <f>HYPERLINK("https://www.google.com/maps/search/?api=1&amp;query=After%20You%20Dessert%20Caf%C3%A9%20%28Silom%20Complex%29&amp;query_place_id=ChIJa2em1dGY4jARkD433irtHU8","เปิดแผนที่")</f>
        <v>เปิดแผนที่</v>
      </c>
      <c r="L9" s="3" t="s">
        <v>18</v>
      </c>
    </row>
    <row r="10" spans="1:12" ht="26.4" x14ac:dyDescent="0.3">
      <c r="A10" s="2">
        <v>9</v>
      </c>
      <c r="B10" s="3" t="s">
        <v>12</v>
      </c>
      <c r="C10" s="9" t="s">
        <v>40</v>
      </c>
      <c r="D10" s="3" t="s">
        <v>49</v>
      </c>
      <c r="E10" s="5">
        <v>13.728084600000001</v>
      </c>
      <c r="F10" s="5">
        <v>100.5349377</v>
      </c>
      <c r="G10" s="6">
        <v>0.83</v>
      </c>
      <c r="H10" s="3" t="s">
        <v>50</v>
      </c>
      <c r="I10" s="3" t="s">
        <v>51</v>
      </c>
      <c r="J10" s="3" t="s">
        <v>52</v>
      </c>
      <c r="K10" s="7" t="str">
        <f>HYPERLINK("https://www.google.com/maps/search/?api=1&amp;query=Kyo%20Roll%20En%20%28Silom%20Complex%29&amp;query_place_id=ChIJr9hEAyyf4jARq1DOwvgEalo","เปิดแผนที่")</f>
        <v>เปิดแผนที่</v>
      </c>
      <c r="L10" s="3" t="s">
        <v>18</v>
      </c>
    </row>
    <row r="11" spans="1:12" ht="26.4" x14ac:dyDescent="0.3">
      <c r="A11" s="2">
        <v>10</v>
      </c>
      <c r="B11" s="3" t="s">
        <v>53</v>
      </c>
      <c r="C11" s="4" t="s">
        <v>13</v>
      </c>
      <c r="D11" s="3" t="s">
        <v>54</v>
      </c>
      <c r="E11" s="5">
        <v>13.7526785</v>
      </c>
      <c r="F11" s="5">
        <v>100.4893907</v>
      </c>
      <c r="G11" s="6">
        <v>0.38</v>
      </c>
      <c r="H11" s="3" t="s">
        <v>55</v>
      </c>
      <c r="I11" s="3" t="s">
        <v>56</v>
      </c>
      <c r="J11" s="3" t="s">
        <v>57</v>
      </c>
      <c r="K11" s="7" t="str">
        <f>HYPERLINK("https://www.google.com/maps/search/?api=1&amp;query=Thong%20Heng%20Lee%20Restaurant&amp;query_place_id=ChIJqda0RQmZ4jAR861kobU9SaE","เปิดแผนที่")</f>
        <v>เปิดแผนที่</v>
      </c>
      <c r="L11" s="3" t="s">
        <v>18</v>
      </c>
    </row>
    <row r="12" spans="1:12" ht="26.4" x14ac:dyDescent="0.3">
      <c r="A12" s="2">
        <v>11</v>
      </c>
      <c r="B12" s="3" t="s">
        <v>53</v>
      </c>
      <c r="C12" s="4" t="s">
        <v>13</v>
      </c>
      <c r="D12" s="3" t="s">
        <v>58</v>
      </c>
      <c r="E12" s="5">
        <v>13.7521738</v>
      </c>
      <c r="F12" s="5">
        <v>100.4891456</v>
      </c>
      <c r="G12" s="6">
        <v>0.39</v>
      </c>
      <c r="H12" s="3" t="s">
        <v>59</v>
      </c>
      <c r="I12" s="3" t="s">
        <v>60</v>
      </c>
      <c r="J12" s="3" t="s">
        <v>61</v>
      </c>
      <c r="K12" s="7" t="str">
        <f>HYPERLINK("https://www.google.com/maps/search/?api=1&amp;query=The%20Gate%20Grand%20Palace&amp;query_place_id=ChIJXSG1gOGZ4jARQWWzQjSY8Hw","เปิดแผนที่")</f>
        <v>เปิดแผนที่</v>
      </c>
      <c r="L12" s="3" t="s">
        <v>18</v>
      </c>
    </row>
    <row r="13" spans="1:12" ht="26.4" x14ac:dyDescent="0.3">
      <c r="A13" s="2">
        <v>12</v>
      </c>
      <c r="B13" s="3" t="s">
        <v>53</v>
      </c>
      <c r="C13" s="4" t="s">
        <v>13</v>
      </c>
      <c r="D13" s="3" t="s">
        <v>62</v>
      </c>
      <c r="E13" s="5">
        <v>13.7495286</v>
      </c>
      <c r="F13" s="5">
        <v>100.4982747</v>
      </c>
      <c r="G13" s="6">
        <v>0.64</v>
      </c>
      <c r="H13" s="3" t="s">
        <v>63</v>
      </c>
      <c r="I13" s="3" t="s">
        <v>64</v>
      </c>
      <c r="J13" s="3" t="s">
        <v>65</v>
      </c>
      <c r="K13" s="7" t="str">
        <f>HYPERLINK("https://www.google.com/maps/search/?api=1&amp;query=Thai%20Royal%20Kitchen%20%E0%B8%84%E0%B8%A3%E0%B8%B1%E0%B8%A7%E0%B8%AB%E0%B8%99%E0%B9%89%E0%B8%B2%E0%B8%A7%E0%B8%B1%E0%B8%87&amp;query_place_id=ChIJ3RQGqDKZ4jARor7IX-x0y0s","เปิดแผนที่")</f>
        <v>เปิดแผนที่</v>
      </c>
      <c r="L13" s="3" t="s">
        <v>18</v>
      </c>
    </row>
    <row r="14" spans="1:12" ht="26.4" x14ac:dyDescent="0.3">
      <c r="A14" s="2">
        <v>13</v>
      </c>
      <c r="B14" s="3" t="s">
        <v>53</v>
      </c>
      <c r="C14" s="8" t="s">
        <v>27</v>
      </c>
      <c r="D14" s="3" t="s">
        <v>66</v>
      </c>
      <c r="E14" s="5">
        <v>13.7525195</v>
      </c>
      <c r="F14" s="5">
        <v>100.4908506</v>
      </c>
      <c r="G14" s="6">
        <v>0.23</v>
      </c>
      <c r="H14" s="3" t="s">
        <v>67</v>
      </c>
      <c r="I14" s="3" t="s">
        <v>68</v>
      </c>
      <c r="J14" s="3" t="s">
        <v>69</v>
      </c>
      <c r="K14" s="7" t="str">
        <f>HYPERLINK("https://www.google.com/maps/search/?api=1&amp;query=Tawang%20Thai%20Tea%2C%20Legendary%20of%20LIGOR%20%40Wat%20Phra%20Kaew&amp;query_place_id=ChIJX1I3HwCZ4jARxCmOcCGCapw","เปิดแผนที่")</f>
        <v>เปิดแผนที่</v>
      </c>
      <c r="L14" s="3" t="s">
        <v>18</v>
      </c>
    </row>
    <row r="15" spans="1:12" ht="26.4" x14ac:dyDescent="0.3">
      <c r="A15" s="2">
        <v>14</v>
      </c>
      <c r="B15" s="3" t="s">
        <v>53</v>
      </c>
      <c r="C15" s="8" t="s">
        <v>27</v>
      </c>
      <c r="D15" s="3" t="s">
        <v>70</v>
      </c>
      <c r="E15" s="5">
        <v>13.75562</v>
      </c>
      <c r="F15" s="5">
        <v>100.49205329999999</v>
      </c>
      <c r="G15" s="6">
        <v>0.46</v>
      </c>
      <c r="H15" s="3" t="s">
        <v>71</v>
      </c>
      <c r="I15" s="3" t="s">
        <v>72</v>
      </c>
      <c r="J15" s="3" t="s">
        <v>73</v>
      </c>
      <c r="K15" s="7" t="str">
        <f>HYPERLINK("https://www.google.com/maps/search/?api=1&amp;query=Cloud%20Phranakhon&amp;query_place_id=ChIJ0VnuaBeZ4jARYxkgVt-fU-o","เปิดแผนที่")</f>
        <v>เปิดแผนที่</v>
      </c>
      <c r="L15" s="3" t="s">
        <v>18</v>
      </c>
    </row>
    <row r="16" spans="1:12" ht="26.4" x14ac:dyDescent="0.3">
      <c r="A16" s="2">
        <v>15</v>
      </c>
      <c r="B16" s="3" t="s">
        <v>53</v>
      </c>
      <c r="C16" s="8" t="s">
        <v>27</v>
      </c>
      <c r="D16" s="3" t="s">
        <v>74</v>
      </c>
      <c r="E16" s="5">
        <v>13.7559097</v>
      </c>
      <c r="F16" s="5">
        <v>100.49041130000001</v>
      </c>
      <c r="G16" s="6">
        <v>0.55000000000000004</v>
      </c>
      <c r="H16" s="3" t="s">
        <v>75</v>
      </c>
      <c r="I16" s="3" t="s">
        <v>76</v>
      </c>
      <c r="J16" s="3" t="s">
        <v>77</v>
      </c>
      <c r="K16" s="7" t="e">
        <f>HYPERLINK(_xlfn._LONGTEXT("https://www.google.com/maps/search/?api=1&amp;query=%E0%B8%8A%E0%B9%88%E0%B8%B2%E0%B8%87%E0%B8%84%E0%B8%B1%E0%B9%88%E0%B8%A7%20%E0%B8%AA%E0%B8%B2%E0%B8%82%E0%B8%B2%E0%B8%97%E0%B9%88%E0%B8%B2%E0%B8%9E%E0%B8%A3%E0%B8%B0%E0%B8%88%E0%B8%B1%E0%B8%99%E0%B8%97%E0%B8","%A3%E0%B9%8C&amp;query_place_id=ChIJnx1_2XKZ4jARlAWQwKo5-_Y"),"เปิดแผนที่")</f>
        <v>#VALUE!</v>
      </c>
      <c r="L16" s="3" t="s">
        <v>18</v>
      </c>
    </row>
    <row r="17" spans="1:12" ht="26.4" x14ac:dyDescent="0.3">
      <c r="A17" s="2">
        <v>16</v>
      </c>
      <c r="B17" s="3" t="s">
        <v>53</v>
      </c>
      <c r="C17" s="9" t="s">
        <v>40</v>
      </c>
      <c r="D17" s="3" t="s">
        <v>78</v>
      </c>
      <c r="E17" s="5">
        <v>13.7516701</v>
      </c>
      <c r="F17" s="5">
        <v>100.4974967</v>
      </c>
      <c r="G17" s="6">
        <v>0.52</v>
      </c>
      <c r="H17" s="3" t="s">
        <v>79</v>
      </c>
      <c r="I17" s="3" t="s">
        <v>80</v>
      </c>
      <c r="J17" s="3" t="s">
        <v>81</v>
      </c>
      <c r="K17" s="7" t="e">
        <f>HYPERLINK(_xlfn._LONGTEXT("https://www.google.com/maps/search/?api=1&amp;query=Nuttaporn%20Ice%20Cream%20%28%E0%B9%84%E0%B8%AD%E0%B8%A8%E0%B8%81%E0%B8%A3%E0%B8%B5%E0%B8%A1%E0%B8%A1%E0%B8%B0%E0%B8%9E%E0%B8%A3%E0%B9%89%E0%B8%B2%E0%B8%A7%E0%B8%99%E0%B8%B1%E0%B8%90%E0%B8%9E%E0%B8%A3%29&amp;que","ry_place_id=ChIJ5VJGvhGZ4jARSBZl5Kc7a2k"),"เปิดแผนที่")</f>
        <v>#VALUE!</v>
      </c>
      <c r="L17" s="3" t="s">
        <v>18</v>
      </c>
    </row>
    <row r="18" spans="1:12" ht="26.4" x14ac:dyDescent="0.3">
      <c r="A18" s="2">
        <v>17</v>
      </c>
      <c r="B18" s="3" t="s">
        <v>53</v>
      </c>
      <c r="C18" s="9" t="s">
        <v>40</v>
      </c>
      <c r="D18" s="3" t="s">
        <v>82</v>
      </c>
      <c r="E18" s="5">
        <v>13.752426399999999</v>
      </c>
      <c r="F18" s="5">
        <v>100.4979987</v>
      </c>
      <c r="G18" s="6">
        <v>0.57999999999999996</v>
      </c>
      <c r="H18" s="3" t="s">
        <v>83</v>
      </c>
      <c r="I18" s="3" t="s">
        <v>84</v>
      </c>
      <c r="J18" s="3" t="s">
        <v>85</v>
      </c>
      <c r="K18" s="7" t="e">
        <f>HYPERLINK(_xlfn._LONGTEXT("https://www.google.com/maps/search/?api=1&amp;query=%E0%B8%A3%E0%B9%89%E0%B8%B2%E0%B8%99%E0%B8%A5%E0%B8%B8%E0%B8%87%E0%B9%81%E0%B8%94%E0%B8%87%20%28%E0%B8%82%E0%B8%99%E0%B8%A1%E0%B9%84%E0%B8%97%E0%B8%A2%E0%B9%82%E0%B8%9A%E0%B8%A3%E0%B8%B2%E0%B8%93%20%E0%B9%81","%E0%B8%9E%E0%B8%A3%E0%B9%88%E0%B8%87%E0%B8%99%E0%B8%A3%E0%B8%B2%29&amp;query_place_id=ChIJa0NEkBGZ4jARK8fGc1AlX4k"),"เปิดแผนที่")</f>
        <v>#VALUE!</v>
      </c>
      <c r="L18" s="3" t="s">
        <v>18</v>
      </c>
    </row>
    <row r="19" spans="1:12" ht="26.4" x14ac:dyDescent="0.3">
      <c r="A19" s="2">
        <v>18</v>
      </c>
      <c r="B19" s="3" t="s">
        <v>53</v>
      </c>
      <c r="C19" s="9" t="s">
        <v>40</v>
      </c>
      <c r="D19" s="3" t="s">
        <v>86</v>
      </c>
      <c r="E19" s="5">
        <v>13.7495233</v>
      </c>
      <c r="F19" s="5">
        <v>100.4980413</v>
      </c>
      <c r="G19" s="6">
        <v>0.62</v>
      </c>
      <c r="H19" s="3" t="s">
        <v>87</v>
      </c>
      <c r="I19" s="3" t="s">
        <v>88</v>
      </c>
      <c r="J19" s="3" t="s">
        <v>89</v>
      </c>
      <c r="K19" s="7" t="str">
        <f>HYPERLINK("https://www.google.com/maps/search/?api=1&amp;query=PAULETTE%20BKK&amp;query_place_id=ChIJHdQm8CKZ4jARSeplrVUwAtg","เปิดแผนที่")</f>
        <v>เปิดแผนที่</v>
      </c>
      <c r="L19" s="3" t="s">
        <v>18</v>
      </c>
    </row>
    <row r="20" spans="1:12" ht="26.4" x14ac:dyDescent="0.3">
      <c r="A20" s="2">
        <v>19</v>
      </c>
      <c r="B20" s="3" t="s">
        <v>90</v>
      </c>
      <c r="C20" s="4" t="s">
        <v>13</v>
      </c>
      <c r="D20" s="3" t="s">
        <v>91</v>
      </c>
      <c r="E20" s="5">
        <v>13.744685499999999</v>
      </c>
      <c r="F20" s="5">
        <v>100.4922468</v>
      </c>
      <c r="G20" s="6">
        <v>0.2</v>
      </c>
      <c r="H20" s="3" t="s">
        <v>92</v>
      </c>
      <c r="I20" s="3" t="s">
        <v>93</v>
      </c>
      <c r="J20" s="3" t="s">
        <v>94</v>
      </c>
      <c r="K20" s="7" t="str">
        <f>HYPERLINK("https://www.google.com/maps/search/?api=1&amp;query=Baan%20ThaTien&amp;query_place_id=ChIJAYJsTQSZ4jARi7QrBrmpxY4","เปิดแผนที่")</f>
        <v>เปิดแผนที่</v>
      </c>
      <c r="L20" s="3" t="s">
        <v>18</v>
      </c>
    </row>
    <row r="21" spans="1:12" ht="26.4" x14ac:dyDescent="0.3">
      <c r="A21" s="2">
        <v>20</v>
      </c>
      <c r="B21" s="3" t="s">
        <v>90</v>
      </c>
      <c r="C21" s="4" t="s">
        <v>13</v>
      </c>
      <c r="D21" s="3" t="s">
        <v>95</v>
      </c>
      <c r="E21" s="5">
        <v>13.745695</v>
      </c>
      <c r="F21" s="5">
        <v>100.491253</v>
      </c>
      <c r="G21" s="6">
        <v>0.18</v>
      </c>
      <c r="H21" s="3" t="s">
        <v>96</v>
      </c>
      <c r="I21" s="3" t="s">
        <v>97</v>
      </c>
      <c r="J21" s="3" t="s">
        <v>98</v>
      </c>
      <c r="K21" s="7" t="str">
        <f>HYPERLINK("https://www.google.com/maps/search/?api=1&amp;query=Home%20Cafe%20Tha%20Tien&amp;query_place_id=ChIJ6aLoxQWZ4jARd7FjOaPiQ08","เปิดแผนที่")</f>
        <v>เปิดแผนที่</v>
      </c>
      <c r="L21" s="3" t="s">
        <v>18</v>
      </c>
    </row>
    <row r="22" spans="1:12" ht="26.4" x14ac:dyDescent="0.3">
      <c r="A22" s="2">
        <v>21</v>
      </c>
      <c r="B22" s="3" t="s">
        <v>90</v>
      </c>
      <c r="C22" s="4" t="s">
        <v>13</v>
      </c>
      <c r="D22" s="3" t="s">
        <v>99</v>
      </c>
      <c r="E22" s="5">
        <v>13.7442546</v>
      </c>
      <c r="F22" s="5">
        <v>100.4917087</v>
      </c>
      <c r="G22" s="6">
        <v>0.27</v>
      </c>
      <c r="H22" s="3" t="s">
        <v>100</v>
      </c>
      <c r="I22" s="3" t="s">
        <v>101</v>
      </c>
      <c r="J22" s="3" t="s">
        <v>102</v>
      </c>
      <c r="K22" s="7" t="str">
        <f>HYPERLINK("https://www.google.com/maps/search/?api=1&amp;query=RONGROS&amp;query_place_id=ChIJjYPUa8GZ4jARi9fgigQOiR8","เปิดแผนที่")</f>
        <v>เปิดแผนที่</v>
      </c>
      <c r="L22" s="3" t="s">
        <v>18</v>
      </c>
    </row>
    <row r="23" spans="1:12" ht="26.4" x14ac:dyDescent="0.3">
      <c r="A23" s="2">
        <v>22</v>
      </c>
      <c r="B23" s="3" t="s">
        <v>90</v>
      </c>
      <c r="C23" s="8" t="s">
        <v>27</v>
      </c>
      <c r="D23" s="3" t="s">
        <v>103</v>
      </c>
      <c r="E23" s="5">
        <v>13.745606499999999</v>
      </c>
      <c r="F23" s="5">
        <v>100.4911484</v>
      </c>
      <c r="G23" s="6">
        <v>0.2</v>
      </c>
      <c r="H23" s="3" t="s">
        <v>104</v>
      </c>
      <c r="I23" s="3" t="s">
        <v>105</v>
      </c>
      <c r="J23" s="3" t="s">
        <v>106</v>
      </c>
      <c r="K23" s="7" t="str">
        <f>HYPERLINK("https://www.google.com/maps/search/?api=1&amp;query=Orin%20Coffee%20roaster%20%26%20Specialty%20tea&amp;query_place_id=ChIJ3cc_YhmZ4jARPfL1wgx3Ywk","เปิดแผนที่")</f>
        <v>เปิดแผนที่</v>
      </c>
      <c r="L23" s="3" t="s">
        <v>18</v>
      </c>
    </row>
    <row r="24" spans="1:12" ht="26.4" x14ac:dyDescent="0.3">
      <c r="A24" s="2">
        <v>23</v>
      </c>
      <c r="B24" s="3" t="s">
        <v>90</v>
      </c>
      <c r="C24" s="8" t="s">
        <v>27</v>
      </c>
      <c r="D24" s="3" t="s">
        <v>107</v>
      </c>
      <c r="E24" s="5">
        <v>13.7453407</v>
      </c>
      <c r="F24" s="5">
        <v>100.49163660000001</v>
      </c>
      <c r="G24" s="6">
        <v>0.17</v>
      </c>
      <c r="H24" s="3" t="s">
        <v>108</v>
      </c>
      <c r="I24" s="3" t="s">
        <v>109</v>
      </c>
      <c r="J24" s="3" t="s">
        <v>110</v>
      </c>
      <c r="K24" s="7" t="str">
        <f>HYPERLINK("https://www.google.com/maps/search/?api=1&amp;query=SLOWBAR%20%3A%20Slow%20coffee%20%26%20Juice%20bar&amp;query_place_id=ChIJI7VVefWZ4jARWW57XZMlPO4","เปิดแผนที่")</f>
        <v>เปิดแผนที่</v>
      </c>
      <c r="L24" s="3" t="s">
        <v>18</v>
      </c>
    </row>
    <row r="25" spans="1:12" ht="26.4" x14ac:dyDescent="0.3">
      <c r="A25" s="2">
        <v>24</v>
      </c>
      <c r="B25" s="3" t="s">
        <v>90</v>
      </c>
      <c r="C25" s="8" t="s">
        <v>27</v>
      </c>
      <c r="D25" s="3" t="s">
        <v>111</v>
      </c>
      <c r="E25" s="5">
        <v>13.746025400000001</v>
      </c>
      <c r="F25" s="5">
        <v>100.49120360000001</v>
      </c>
      <c r="G25" s="6">
        <v>0.17</v>
      </c>
      <c r="H25" s="3" t="s">
        <v>112</v>
      </c>
      <c r="I25" s="3" t="s">
        <v>113</v>
      </c>
      <c r="J25" s="3" t="s">
        <v>114</v>
      </c>
      <c r="K25" s="7" t="str">
        <f>HYPERLINK("https://www.google.com/maps/search/?api=1&amp;query=%E0%B8%95%E0%B8%B1%E0%B9%89%E0%B8%87%E0%B9%80%E0%B8%95%E0%B8%B5%E0%B8%A2%E0%B8%99%E0%B8%99%E0%B9%8C%20-%20Tang%20De%20Tien%20Cafe%27%20%26%20Curated%20twist&amp;query_place_id=ChIJpRm_RwCZ4jARHuxdKSbqYX0","เปิดแผนที่")</f>
        <v>เปิดแผนที่</v>
      </c>
      <c r="L25" s="3" t="s">
        <v>18</v>
      </c>
    </row>
    <row r="26" spans="1:12" ht="26.4" x14ac:dyDescent="0.3">
      <c r="A26" s="2">
        <v>25</v>
      </c>
      <c r="B26" s="3" t="s">
        <v>90</v>
      </c>
      <c r="C26" s="9" t="s">
        <v>40</v>
      </c>
      <c r="D26" s="3" t="s">
        <v>115</v>
      </c>
      <c r="E26" s="5">
        <v>13.745920099999999</v>
      </c>
      <c r="F26" s="5">
        <v>100.49126870000001</v>
      </c>
      <c r="G26" s="6">
        <v>0.17</v>
      </c>
      <c r="H26" s="3" t="s">
        <v>116</v>
      </c>
      <c r="I26" s="3" t="s">
        <v>117</v>
      </c>
      <c r="J26" s="3" t="s">
        <v>118</v>
      </c>
      <c r="K26" s="7" t="str">
        <f>HYPERLINK("https://www.google.com/maps/search/?api=1&amp;query=Heychom%20Thai%20Dessert%20Bar&amp;query_place_id=ChIJf676IJeZ4jARHVCHVT4OJko","เปิดแผนที่")</f>
        <v>เปิดแผนที่</v>
      </c>
      <c r="L26" s="3" t="s">
        <v>18</v>
      </c>
    </row>
    <row r="27" spans="1:12" ht="26.4" x14ac:dyDescent="0.3">
      <c r="A27" s="2">
        <v>26</v>
      </c>
      <c r="B27" s="3" t="s">
        <v>90</v>
      </c>
      <c r="C27" s="9" t="s">
        <v>40</v>
      </c>
      <c r="D27" s="3" t="s">
        <v>119</v>
      </c>
      <c r="E27" s="5">
        <v>13.7450075</v>
      </c>
      <c r="F27" s="5">
        <v>100.4919373</v>
      </c>
      <c r="G27" s="6">
        <v>0.18</v>
      </c>
      <c r="H27" s="3" t="s">
        <v>120</v>
      </c>
      <c r="I27" s="3" t="s">
        <v>121</v>
      </c>
      <c r="J27" s="3" t="s">
        <v>122</v>
      </c>
      <c r="K27" s="7" t="str">
        <f>HYPERLINK("https://www.google.com/maps/search/?api=1&amp;query=After%20Sunrise&amp;query_place_id=ChIJ2ewOZh6Z4jARqNuLp2xFDW8","เปิดแผนที่")</f>
        <v>เปิดแผนที่</v>
      </c>
      <c r="L27" s="3" t="s">
        <v>18</v>
      </c>
    </row>
    <row r="28" spans="1:12" ht="26.4" x14ac:dyDescent="0.3">
      <c r="A28" s="2">
        <v>27</v>
      </c>
      <c r="B28" s="3" t="s">
        <v>90</v>
      </c>
      <c r="C28" s="9" t="s">
        <v>40</v>
      </c>
      <c r="D28" s="3" t="s">
        <v>123</v>
      </c>
      <c r="E28" s="5">
        <v>13.7449359</v>
      </c>
      <c r="F28" s="5">
        <v>100.492024</v>
      </c>
      <c r="G28" s="6">
        <v>0.18</v>
      </c>
      <c r="H28" s="3" t="s">
        <v>124</v>
      </c>
      <c r="I28" s="3" t="s">
        <v>125</v>
      </c>
      <c r="J28" s="3" t="s">
        <v>126</v>
      </c>
      <c r="K28" s="7" t="str">
        <f>HYPERLINK("https://www.google.com/maps/search/?api=1&amp;query=A%20Pink%20Rabbit%20%2B%20Bob&amp;query_place_id=ChIJv9Qyc9uZ4jAR7LyLQfsLySI","เปิดแผนที่")</f>
        <v>เปิดแผนที่</v>
      </c>
      <c r="L28" s="3" t="s">
        <v>18</v>
      </c>
    </row>
    <row r="29" spans="1:12" ht="26.4" x14ac:dyDescent="0.3">
      <c r="A29" s="2">
        <v>28</v>
      </c>
      <c r="B29" s="3" t="s">
        <v>127</v>
      </c>
      <c r="C29" s="4" t="s">
        <v>13</v>
      </c>
      <c r="D29" s="3" t="s">
        <v>128</v>
      </c>
      <c r="E29" s="5">
        <v>13.744047800000001</v>
      </c>
      <c r="F29" s="5">
        <v>100.49177039999999</v>
      </c>
      <c r="G29" s="6">
        <v>0.36</v>
      </c>
      <c r="H29" s="3" t="s">
        <v>129</v>
      </c>
      <c r="I29" s="3" t="s">
        <v>130</v>
      </c>
      <c r="J29" s="3" t="s">
        <v>131</v>
      </c>
      <c r="K29" s="7" t="str">
        <f>HYPERLINK("https://www.google.com/maps/search/?api=1&amp;query=Chom%20Arun&amp;query_place_id=ChIJg86wsZ-Z4jARYyyrIYV1rpw","เปิดแผนที่")</f>
        <v>เปิดแผนที่</v>
      </c>
      <c r="L29" s="3" t="s">
        <v>18</v>
      </c>
    </row>
    <row r="30" spans="1:12" ht="26.4" x14ac:dyDescent="0.3">
      <c r="A30" s="2">
        <v>29</v>
      </c>
      <c r="B30" s="3" t="s">
        <v>127</v>
      </c>
      <c r="C30" s="4" t="s">
        <v>13</v>
      </c>
      <c r="D30" s="3" t="s">
        <v>132</v>
      </c>
      <c r="E30" s="5">
        <v>13.744135099999999</v>
      </c>
      <c r="F30" s="5">
        <v>100.4917348</v>
      </c>
      <c r="G30" s="6">
        <v>0.36</v>
      </c>
      <c r="H30" s="3" t="s">
        <v>133</v>
      </c>
      <c r="I30" s="3" t="s">
        <v>134</v>
      </c>
      <c r="J30" s="3" t="s">
        <v>135</v>
      </c>
      <c r="K30" s="7" t="str">
        <f>HYPERLINK("https://www.google.com/maps/search/?api=1&amp;query=Supanniga%20Eating%20Room%20Tha%20Tien&amp;query_place_id=ChIJjZS9RwSZ4jARNZMgiT03fJ4","เปิดแผนที่")</f>
        <v>เปิดแผนที่</v>
      </c>
      <c r="L30" s="3" t="s">
        <v>18</v>
      </c>
    </row>
    <row r="31" spans="1:12" ht="26.4" x14ac:dyDescent="0.3">
      <c r="A31" s="2">
        <v>30</v>
      </c>
      <c r="B31" s="3" t="s">
        <v>127</v>
      </c>
      <c r="C31" s="4" t="s">
        <v>13</v>
      </c>
      <c r="D31" s="3" t="s">
        <v>136</v>
      </c>
      <c r="E31" s="5">
        <v>13.745267399999999</v>
      </c>
      <c r="F31" s="5">
        <v>100.4909523</v>
      </c>
      <c r="G31" s="6">
        <v>0.31</v>
      </c>
      <c r="H31" s="3" t="s">
        <v>137</v>
      </c>
      <c r="I31" s="3" t="s">
        <v>138</v>
      </c>
      <c r="J31" s="3" t="s">
        <v>139</v>
      </c>
      <c r="K31" s="7" t="str">
        <f>HYPERLINK("https://www.google.com/maps/search/?api=1&amp;query=Eat%20Sight%20Story%20Deck&amp;query_place_id=ChIJ961s0QWZ4jARvvtf8tT2ZzQ","เปิดแผนที่")</f>
        <v>เปิดแผนที่</v>
      </c>
      <c r="L31" s="3" t="s">
        <v>18</v>
      </c>
    </row>
    <row r="32" spans="1:12" ht="26.4" x14ac:dyDescent="0.3">
      <c r="A32" s="2">
        <v>31</v>
      </c>
      <c r="B32" s="3" t="s">
        <v>127</v>
      </c>
      <c r="C32" s="8" t="s">
        <v>27</v>
      </c>
      <c r="D32" s="3" t="s">
        <v>140</v>
      </c>
      <c r="E32" s="5">
        <v>13.743691099999999</v>
      </c>
      <c r="F32" s="5">
        <v>100.49210720000001</v>
      </c>
      <c r="G32" s="6">
        <v>0.4</v>
      </c>
      <c r="H32" s="3" t="s">
        <v>141</v>
      </c>
      <c r="I32" s="3" t="s">
        <v>142</v>
      </c>
      <c r="J32" s="3" t="s">
        <v>143</v>
      </c>
      <c r="K32" s="7" t="str">
        <f>HYPERLINK("https://www.google.com/maps/search/?api=1&amp;query=ViVi%20The%20Coffee%20Place&amp;query_place_id=ChIJrTG8QwSZ4jAR7y9dYWUsw_o","เปิดแผนที่")</f>
        <v>เปิดแผนที่</v>
      </c>
      <c r="L32" s="3" t="s">
        <v>18</v>
      </c>
    </row>
    <row r="33" spans="1:12" ht="26.4" x14ac:dyDescent="0.3">
      <c r="A33" s="2">
        <v>32</v>
      </c>
      <c r="B33" s="3" t="s">
        <v>127</v>
      </c>
      <c r="C33" s="8" t="s">
        <v>27</v>
      </c>
      <c r="D33" s="3" t="s">
        <v>144</v>
      </c>
      <c r="E33" s="5">
        <v>13.742653000000001</v>
      </c>
      <c r="F33" s="5">
        <v>100.4874873</v>
      </c>
      <c r="G33" s="6">
        <v>0.17</v>
      </c>
      <c r="H33" s="3" t="s">
        <v>145</v>
      </c>
      <c r="I33" s="3" t="s">
        <v>60</v>
      </c>
      <c r="J33" s="3" t="s">
        <v>122</v>
      </c>
      <c r="K33" s="7" t="str">
        <f>HYPERLINK("https://www.google.com/maps/search/?api=1&amp;query=Arun-Cafe&amp;query_place_id=ChIJhbOGK6qZ4jARpbTx6P5md9s","เปิดแผนที่")</f>
        <v>เปิดแผนที่</v>
      </c>
      <c r="L33" s="3" t="s">
        <v>18</v>
      </c>
    </row>
    <row r="34" spans="1:12" ht="39.6" x14ac:dyDescent="0.3">
      <c r="A34" s="2">
        <v>33</v>
      </c>
      <c r="B34" s="3" t="s">
        <v>127</v>
      </c>
      <c r="C34" s="8" t="s">
        <v>27</v>
      </c>
      <c r="D34" s="3" t="s">
        <v>146</v>
      </c>
      <c r="E34" s="5">
        <v>13.7416825</v>
      </c>
      <c r="F34" s="5">
        <v>100.4863189</v>
      </c>
      <c r="G34" s="6">
        <v>0.33</v>
      </c>
      <c r="H34" s="3" t="s">
        <v>147</v>
      </c>
      <c r="I34" s="3" t="s">
        <v>148</v>
      </c>
      <c r="J34" s="3" t="s">
        <v>149</v>
      </c>
      <c r="K34" s="7" t="str">
        <f>HYPERLINK("https://www.google.com/maps/search/?api=1&amp;query=gunsbake.cafe&amp;query_place_id=ChIJwznn8QSZ4jARth7RYPTDmAc","เปิดแผนที่")</f>
        <v>เปิดแผนที่</v>
      </c>
      <c r="L34" s="3" t="s">
        <v>18</v>
      </c>
    </row>
    <row r="35" spans="1:12" ht="26.4" x14ac:dyDescent="0.3">
      <c r="A35" s="2">
        <v>34</v>
      </c>
      <c r="B35" s="3" t="s">
        <v>127</v>
      </c>
      <c r="C35" s="9" t="s">
        <v>40</v>
      </c>
      <c r="D35" s="3" t="s">
        <v>150</v>
      </c>
      <c r="E35" s="5">
        <v>13.744784299999999</v>
      </c>
      <c r="F35" s="5">
        <v>100.4912865</v>
      </c>
      <c r="G35" s="6">
        <v>0.32</v>
      </c>
      <c r="H35" s="3" t="s">
        <v>151</v>
      </c>
      <c r="I35" s="3" t="s">
        <v>152</v>
      </c>
      <c r="J35" s="3" t="s">
        <v>122</v>
      </c>
      <c r="K35" s="7" t="str">
        <f>HYPERLINK("https://www.google.com/maps/search/?api=1&amp;query=Before%20Sunset&amp;query_place_id=ChIJ28Sybv2Z4jARwGxmuwOJbso","เปิดแผนที่")</f>
        <v>เปิดแผนที่</v>
      </c>
      <c r="L35" s="3" t="s">
        <v>18</v>
      </c>
    </row>
    <row r="36" spans="1:12" ht="26.4" x14ac:dyDescent="0.3">
      <c r="A36" s="2">
        <v>35</v>
      </c>
      <c r="B36" s="3" t="s">
        <v>127</v>
      </c>
      <c r="C36" s="9" t="s">
        <v>40</v>
      </c>
      <c r="D36" s="3" t="s">
        <v>153</v>
      </c>
      <c r="E36" s="5">
        <v>13.746547700000001</v>
      </c>
      <c r="F36" s="5">
        <v>100.4846122</v>
      </c>
      <c r="G36" s="6">
        <v>0.51</v>
      </c>
      <c r="H36" s="3" t="s">
        <v>154</v>
      </c>
      <c r="I36" s="3" t="s">
        <v>155</v>
      </c>
      <c r="J36" s="3" t="s">
        <v>156</v>
      </c>
      <c r="K36" s="7" t="str">
        <f>HYPERLINK("https://www.google.com/maps/search/?api=1&amp;query=Priscilla%20Ice%20Cream&amp;query_place_id=ChIJ321kK3GZ4jAR2rRWuWXBPMw","เปิดแผนที่")</f>
        <v>เปิดแผนที่</v>
      </c>
      <c r="L36" s="3" t="s">
        <v>18</v>
      </c>
    </row>
    <row r="37" spans="1:12" ht="26.4" x14ac:dyDescent="0.3">
      <c r="A37" s="2">
        <v>36</v>
      </c>
      <c r="B37" s="3" t="s">
        <v>127</v>
      </c>
      <c r="C37" s="9" t="s">
        <v>40</v>
      </c>
      <c r="D37" s="3" t="s">
        <v>157</v>
      </c>
      <c r="E37" s="5">
        <v>13.7415235</v>
      </c>
      <c r="F37" s="5">
        <v>100.4860448</v>
      </c>
      <c r="G37" s="6">
        <v>0.37</v>
      </c>
      <c r="H37" s="3" t="s">
        <v>158</v>
      </c>
      <c r="I37" s="3" t="s">
        <v>159</v>
      </c>
      <c r="J37" s="3" t="s">
        <v>160</v>
      </c>
      <c r="K37" s="7" t="str">
        <f>HYPERLINK("https://www.google.com/maps/search/?api=1&amp;query=Ice%20Therapy%20%28%E0%B9%84%E0%B8%AD%E0%B8%A8%E0%B8%81%E0%B8%A3%E0%B8%B5%E0%B8%A1%E0%B9%80%E0%B8%88%E0%B8%A5%E0%B8%B2%E0%B9%82%E0%B8%95%E0%B9%89%29&amp;query_place_id=ChIJJQLvOwCZ4jARUyBcQD86DEY","เปิดแผนที่")</f>
        <v>เปิดแผนที่</v>
      </c>
      <c r="L37" s="3" t="s">
        <v>18</v>
      </c>
    </row>
    <row r="38" spans="1:12" ht="26.4" x14ac:dyDescent="0.3">
      <c r="A38" s="2">
        <v>37</v>
      </c>
      <c r="B38" s="3" t="s">
        <v>161</v>
      </c>
      <c r="C38" s="4" t="s">
        <v>13</v>
      </c>
      <c r="D38" s="3" t="s">
        <v>162</v>
      </c>
      <c r="E38" s="5">
        <v>13.718533300000001</v>
      </c>
      <c r="F38" s="5">
        <v>100.46772249999999</v>
      </c>
      <c r="G38" s="6">
        <v>0.46</v>
      </c>
      <c r="H38" s="3" t="s">
        <v>163</v>
      </c>
      <c r="I38" s="3" t="s">
        <v>164</v>
      </c>
      <c r="J38" s="3" t="s">
        <v>165</v>
      </c>
      <c r="K38" s="7" t="e">
        <f>HYPERLINK(_xlfn._LONGTEXT("https://www.google.com/maps/search/?api=1&amp;query=%E0%B8%A3%E0%B9%89%E0%B8%B2%E0%B8%99%E0%B8%95%E0%B8%B8%E0%B9%89%E0%B8%A1%E0%B8%AD%E0%B8%A3%E0%B9%88%E0%B8%AD%E0%B8%A2%20%E0%B8%84%E0%B8%B2%E0%B9%80%E0%B8%9F%E0%B9%88%20Toomaroi%20Caf%C3%A9&amp;query_place_id=ChI","JT3ZAob-Z4jARZKL_lsJzvVY"),"เปิดแผนที่")</f>
        <v>#VALUE!</v>
      </c>
      <c r="L38" s="3" t="s">
        <v>18</v>
      </c>
    </row>
    <row r="39" spans="1:12" ht="26.4" x14ac:dyDescent="0.3">
      <c r="A39" s="2">
        <v>38</v>
      </c>
      <c r="B39" s="3" t="s">
        <v>161</v>
      </c>
      <c r="C39" s="4" t="s">
        <v>13</v>
      </c>
      <c r="D39" s="3" t="s">
        <v>166</v>
      </c>
      <c r="E39" s="5">
        <v>13.721551399999999</v>
      </c>
      <c r="F39" s="5">
        <v>100.47193679999999</v>
      </c>
      <c r="G39" s="6">
        <v>0.17</v>
      </c>
      <c r="H39" s="3" t="s">
        <v>167</v>
      </c>
      <c r="I39" s="3" t="s">
        <v>168</v>
      </c>
      <c r="J39" s="3" t="s">
        <v>169</v>
      </c>
      <c r="K39" s="7" t="str">
        <f>HYPERLINK("https://www.google.com/maps/search/?api=1&amp;query=Hidden%20Bangkok%20Bistro&amp;query_place_id=ChIJZ6CYhMaZ4jARJ98e1bZkf5Y","เปิดแผนที่")</f>
        <v>เปิดแผนที่</v>
      </c>
      <c r="L39" s="3" t="s">
        <v>18</v>
      </c>
    </row>
    <row r="40" spans="1:12" ht="26.4" x14ac:dyDescent="0.3">
      <c r="A40" s="2">
        <v>39</v>
      </c>
      <c r="B40" s="3" t="s">
        <v>161</v>
      </c>
      <c r="C40" s="4" t="s">
        <v>13</v>
      </c>
      <c r="D40" s="3" t="s">
        <v>170</v>
      </c>
      <c r="E40" s="5">
        <v>13.720159199999999</v>
      </c>
      <c r="F40" s="5">
        <v>100.4771483</v>
      </c>
      <c r="G40" s="6">
        <v>0.76</v>
      </c>
      <c r="H40" s="3" t="s">
        <v>171</v>
      </c>
      <c r="I40" s="3" t="s">
        <v>172</v>
      </c>
      <c r="J40" s="3" t="s">
        <v>173</v>
      </c>
      <c r="K40" s="7" t="e">
        <f>HYPERLINK(_xlfn._LONGTEXT("https://www.google.com/maps/search/?api=1&amp;query=%E0%B8%89%E0%B8%AD%E0%B9%80%E0%B8%A5%E0%B9%89%E0%B8%87%20%E0%B8%AB%E0%B8%A1%E0%B8%B5%E0%B9%88%E0%B8%81%E0%B8%A3%E0%B8%B0%E0%B9%80%E0%B8%89%E0%B8%94%20%E0%B8%95%E0%B8%A5%E0%B8%B2%E0%B8%94%E0%B8%9E%E0%B8%A5%E0","%B8%B9&amp;query_place_id=ChIJ026d7FuY4jARmnM2EpwSY9M"),"เปิดแผนที่")</f>
        <v>#VALUE!</v>
      </c>
      <c r="L40" s="3" t="s">
        <v>18</v>
      </c>
    </row>
    <row r="41" spans="1:12" ht="26.4" x14ac:dyDescent="0.3">
      <c r="A41" s="2">
        <v>40</v>
      </c>
      <c r="B41" s="3" t="s">
        <v>161</v>
      </c>
      <c r="C41" s="8" t="s">
        <v>27</v>
      </c>
      <c r="D41" s="3" t="s">
        <v>174</v>
      </c>
      <c r="E41" s="5">
        <v>13.722614500000001</v>
      </c>
      <c r="F41" s="5">
        <v>100.4691131</v>
      </c>
      <c r="G41" s="6">
        <v>0.16</v>
      </c>
      <c r="H41" s="3" t="s">
        <v>175</v>
      </c>
      <c r="I41" s="3" t="s">
        <v>176</v>
      </c>
      <c r="J41" s="3" t="s">
        <v>177</v>
      </c>
      <c r="K41" s="7" t="str">
        <f>HYPERLINK("https://www.google.com/maps/search/?api=1&amp;query=Meili%20Cafe%20%E0%B9%80%E0%B8%AB%E0%B8%A1%E0%B9%88%E0%B8%A2%E0%B8%A5%E0%B8%B5%E0%B9%88%E0%B8%84%E0%B8%B2%E0%B9%80%E0%B8%9F%E0%B9%88&amp;query_place_id=ChIJt441FFyZ4jARjDnyNMSSHCE","เปิดแผนที่")</f>
        <v>เปิดแผนที่</v>
      </c>
      <c r="L41" s="3" t="s">
        <v>18</v>
      </c>
    </row>
    <row r="42" spans="1:12" ht="26.4" x14ac:dyDescent="0.3">
      <c r="A42" s="2">
        <v>41</v>
      </c>
      <c r="B42" s="3" t="s">
        <v>161</v>
      </c>
      <c r="C42" s="8" t="s">
        <v>27</v>
      </c>
      <c r="D42" s="3" t="s">
        <v>178</v>
      </c>
      <c r="E42" s="5">
        <v>13.724610999999999</v>
      </c>
      <c r="F42" s="5">
        <v>100.4723152</v>
      </c>
      <c r="G42" s="6">
        <v>0.38</v>
      </c>
      <c r="H42" s="3" t="s">
        <v>179</v>
      </c>
      <c r="I42" s="3" t="s">
        <v>180</v>
      </c>
      <c r="J42" s="3" t="s">
        <v>181</v>
      </c>
      <c r="K42" s="7" t="str">
        <f>HYPERLINK("https://www.google.com/maps/search/?api=1&amp;query=Uruea%20Caf%C3%A9%20%28%E0%B8%AD%E0%B8%B8%E0%B8%A3%E0%B8%B8%E0%B9%80%E0%B8%AD%20%E0%B8%84%E0%B8%B2%E0%B9%80%E0%B8%9F%E0%B9%88%29&amp;query_place_id=ChIJYdBkWayZ4jARyCQGsj2EXnM","เปิดแผนที่")</f>
        <v>เปิดแผนที่</v>
      </c>
      <c r="L42" s="3" t="s">
        <v>18</v>
      </c>
    </row>
    <row r="43" spans="1:12" ht="26.4" x14ac:dyDescent="0.3">
      <c r="A43" s="2">
        <v>42</v>
      </c>
      <c r="B43" s="3" t="s">
        <v>161</v>
      </c>
      <c r="C43" s="8" t="s">
        <v>27</v>
      </c>
      <c r="D43" s="3" t="s">
        <v>182</v>
      </c>
      <c r="E43" s="5">
        <v>13.721052500000001</v>
      </c>
      <c r="F43" s="5">
        <v>100.4703311</v>
      </c>
      <c r="G43" s="6">
        <v>0.08</v>
      </c>
      <c r="H43" s="3" t="s">
        <v>183</v>
      </c>
      <c r="I43" s="3" t="s">
        <v>80</v>
      </c>
      <c r="J43" s="3" t="s">
        <v>122</v>
      </c>
      <c r="K43" s="7" t="str">
        <f>HYPERLINK("https://www.google.com/maps/search/?api=1&amp;query=Cino%20%28%E0%B8%8A%E0%B8%B4%E0%B9%82%E0%B8%99%E0%B9%88%20%E0%B8%84%E0%B8%B2%E0%B9%80%E0%B8%9F%E0%B9%88%29&amp;query_place_id=ChIJsZOKY0SY4jAR9YUtLVVi9us","เปิดแผนที่")</f>
        <v>เปิดแผนที่</v>
      </c>
      <c r="L43" s="3" t="s">
        <v>18</v>
      </c>
    </row>
    <row r="44" spans="1:12" ht="26.4" x14ac:dyDescent="0.3">
      <c r="A44" s="2">
        <v>43</v>
      </c>
      <c r="B44" s="3" t="s">
        <v>161</v>
      </c>
      <c r="C44" s="9" t="s">
        <v>40</v>
      </c>
      <c r="D44" s="3" t="s">
        <v>184</v>
      </c>
      <c r="E44" s="5">
        <v>13.720495</v>
      </c>
      <c r="F44" s="5">
        <v>100.4775066</v>
      </c>
      <c r="G44" s="6">
        <v>0.79</v>
      </c>
      <c r="H44" s="3" t="s">
        <v>185</v>
      </c>
      <c r="I44" s="3" t="s">
        <v>186</v>
      </c>
      <c r="J44" s="3" t="s">
        <v>187</v>
      </c>
      <c r="K44" s="7" t="e">
        <f>HYPERLINK(_xlfn._LONGTEXT("https://www.google.com/maps/search/?api=1&amp;query=Ni-Ang%20Shaved%20Ice%20Cream%20%28%E0%B8%99%E0%B8%B4%E0%B9%88%E0%B8%87%20%E0%B9%84%E0%B8%AD%E0%B8%A8%E0%B8%81%E0%B8%A3%E0%B8%B5%E0%B8%A1%E0%B9%84%E0%B8%82%E0%B9%88%E0%B9%81%E0%B8%94%E0%B8%87%29&amp;query_place_","id=ChIJmZilkluY4jARrhZbeqVgOqQ"),"เปิดแผนที่")</f>
        <v>#VALUE!</v>
      </c>
      <c r="L44" s="3" t="s">
        <v>18</v>
      </c>
    </row>
    <row r="45" spans="1:12" ht="26.4" x14ac:dyDescent="0.3">
      <c r="A45" s="2">
        <v>44</v>
      </c>
      <c r="B45" s="3" t="s">
        <v>161</v>
      </c>
      <c r="C45" s="9" t="s">
        <v>40</v>
      </c>
      <c r="D45" s="3" t="s">
        <v>188</v>
      </c>
      <c r="E45" s="5">
        <v>13.721061799999999</v>
      </c>
      <c r="F45" s="5">
        <v>100.4768066</v>
      </c>
      <c r="G45" s="6">
        <v>0.7</v>
      </c>
      <c r="H45" s="3" t="s">
        <v>189</v>
      </c>
      <c r="I45" s="3" t="s">
        <v>190</v>
      </c>
      <c r="J45" s="3" t="s">
        <v>191</v>
      </c>
      <c r="K45" s="7" t="str">
        <f>HYPERLINK("https://www.google.com/maps/search/?api=1&amp;query=b%C4%81ol%C3%BA&amp;query_place_id=ChIJbxDHe5aZ4jARisr7Zv3inFw","เปิดแผนที่")</f>
        <v>เปิดแผนที่</v>
      </c>
      <c r="L45" s="3" t="s">
        <v>18</v>
      </c>
    </row>
    <row r="46" spans="1:12" ht="26.4" x14ac:dyDescent="0.3">
      <c r="A46" s="2">
        <v>45</v>
      </c>
      <c r="B46" s="3" t="s">
        <v>161</v>
      </c>
      <c r="C46" s="9" t="s">
        <v>40</v>
      </c>
      <c r="D46" s="3" t="s">
        <v>192</v>
      </c>
      <c r="E46" s="5">
        <v>13.7190254</v>
      </c>
      <c r="F46" s="5">
        <v>100.4754162</v>
      </c>
      <c r="G46" s="6">
        <v>0.63</v>
      </c>
      <c r="H46" s="3" t="s">
        <v>193</v>
      </c>
      <c r="I46" s="3" t="s">
        <v>194</v>
      </c>
      <c r="J46" s="3" t="s">
        <v>195</v>
      </c>
      <c r="K46" s="7" t="str">
        <f>HYPERLINK("https://www.google.com/maps/search/?api=1&amp;query=Family%20Bakery&amp;query_place_id=ChIJkSZ-Y1uY4jARBUk3CwCBWZU","เปิดแผนที่")</f>
        <v>เปิดแผนที่</v>
      </c>
      <c r="L46" s="3" t="s">
        <v>18</v>
      </c>
    </row>
    <row r="47" spans="1:12" ht="26.4" x14ac:dyDescent="0.3">
      <c r="A47" s="2">
        <v>46</v>
      </c>
      <c r="B47" s="3" t="s">
        <v>196</v>
      </c>
      <c r="C47" s="4" t="s">
        <v>13</v>
      </c>
      <c r="D47" s="3" t="s">
        <v>197</v>
      </c>
      <c r="E47" s="5">
        <v>13.7461796</v>
      </c>
      <c r="F47" s="5">
        <v>100.52364660000001</v>
      </c>
      <c r="G47" s="6">
        <v>0.78</v>
      </c>
      <c r="H47" s="3" t="s">
        <v>198</v>
      </c>
      <c r="I47" s="3" t="s">
        <v>199</v>
      </c>
      <c r="J47" s="3" t="s">
        <v>200</v>
      </c>
      <c r="K47" s="7" t="str">
        <f>HYPERLINK("https://www.google.com/maps/search/?api=1&amp;query=Jae%20Keang%20%28Banthat%20Thong%29&amp;query_place_id=ChIJd0oN2SmZ4jARvT7TiGUmDGs","เปิดแผนที่")</f>
        <v>เปิดแผนที่</v>
      </c>
      <c r="L47" s="3" t="s">
        <v>18</v>
      </c>
    </row>
    <row r="48" spans="1:12" ht="26.4" x14ac:dyDescent="0.3">
      <c r="A48" s="2">
        <v>47</v>
      </c>
      <c r="B48" s="3" t="s">
        <v>196</v>
      </c>
      <c r="C48" s="4" t="s">
        <v>13</v>
      </c>
      <c r="D48" s="3" t="s">
        <v>201</v>
      </c>
      <c r="E48" s="5">
        <v>13.742889399999999</v>
      </c>
      <c r="F48" s="5">
        <v>100.5237008</v>
      </c>
      <c r="G48" s="6">
        <v>0.42</v>
      </c>
      <c r="H48" s="3" t="s">
        <v>202</v>
      </c>
      <c r="I48" s="3" t="s">
        <v>203</v>
      </c>
      <c r="J48" s="3" t="s">
        <v>204</v>
      </c>
      <c r="K48" s="7" t="e">
        <f>HYPERLINK(_xlfn._LONGTEXT("https://www.google.com/maps/search/?api=1&amp;query=Pa%20Nee%20Kung%20Chae%20Nam%20Pla%20%28%E0%B8%9B%E0%B9%89%E0%B8%B2%E0%B8%99%E0%B8%B5%E0%B8%81%E0%B8%B8%E0%B9%89%E0%B8%87%E0%B9%81%E0%B8%8A%E0%B9%88%E0%B8%99%E0%B9%89%E0%B8%B3%E0%B8%9B%E0%B8%A5%E0%B8%B2%29&amp;q","uery_place_id=ChIJicM_KrqZ4jARknIcSUkpVdg"),"เปิดแผนที่")</f>
        <v>#VALUE!</v>
      </c>
      <c r="L48" s="3" t="s">
        <v>18</v>
      </c>
    </row>
    <row r="49" spans="1:12" ht="26.4" x14ac:dyDescent="0.3">
      <c r="A49" s="2">
        <v>48</v>
      </c>
      <c r="B49" s="3" t="s">
        <v>196</v>
      </c>
      <c r="C49" s="4" t="s">
        <v>13</v>
      </c>
      <c r="D49" s="3" t="s">
        <v>205</v>
      </c>
      <c r="E49" s="5">
        <v>13.745208</v>
      </c>
      <c r="F49" s="5">
        <v>100.523898</v>
      </c>
      <c r="G49" s="6">
        <v>0.67</v>
      </c>
      <c r="H49" s="3" t="s">
        <v>206</v>
      </c>
      <c r="I49" s="3" t="s">
        <v>138</v>
      </c>
      <c r="J49" s="3" t="s">
        <v>207</v>
      </c>
      <c r="K49" s="7" t="e">
        <f>HYPERLINK(_xlfn._LONGTEXT("https://www.google.com/maps/search/?api=1&amp;query=Somboon%20Seafood%20%28%E0%B8%AA%E0%B8%A1%E0%B8%9A%E0%B8%B9%E0%B8%A3%E0%B8%93%E0%B9%8C%E0%B9%82%E0%B8%A0%E0%B8%8A%E0%B8%99%E0%B8%B2%20%E0%B8%9A%E0%B8%A3%E0%B8%A3%E0%B8%97%E0%B8%B1%E0%B8%94%E0%B8%97%E0%B8%AD%","E0%B8%87%29&amp;query_place_id=ChIJe_8_Ci6Z4jARqgBTNie9XqE"),"เปิดแผนที่")</f>
        <v>#VALUE!</v>
      </c>
      <c r="L49" s="3" t="s">
        <v>18</v>
      </c>
    </row>
    <row r="50" spans="1:12" ht="26.4" x14ac:dyDescent="0.3">
      <c r="A50" s="2">
        <v>49</v>
      </c>
      <c r="B50" s="3" t="s">
        <v>196</v>
      </c>
      <c r="C50" s="8" t="s">
        <v>27</v>
      </c>
      <c r="D50" s="3" t="s">
        <v>208</v>
      </c>
      <c r="E50" s="5">
        <v>13.743727</v>
      </c>
      <c r="F50" s="5">
        <v>100.52369640000001</v>
      </c>
      <c r="G50" s="6">
        <v>0.51</v>
      </c>
      <c r="H50" s="3" t="s">
        <v>209</v>
      </c>
      <c r="I50" s="3" t="s">
        <v>210</v>
      </c>
      <c r="J50" s="3" t="s">
        <v>211</v>
      </c>
      <c r="K50" s="7" t="str">
        <f>HYPERLINK("https://www.google.com/maps/search/?api=1&amp;query=Everyday%20Thai%20Tea%20%28Head%20Quarter%29&amp;query_place_id=ChIJ3zD-QBaZ4jARgbCPH2kTR3w","เปิดแผนที่")</f>
        <v>เปิดแผนที่</v>
      </c>
      <c r="L50" s="3" t="s">
        <v>18</v>
      </c>
    </row>
    <row r="51" spans="1:12" ht="26.4" x14ac:dyDescent="0.3">
      <c r="A51" s="2">
        <v>50</v>
      </c>
      <c r="B51" s="3" t="s">
        <v>196</v>
      </c>
      <c r="C51" s="8" t="s">
        <v>27</v>
      </c>
      <c r="D51" s="3" t="s">
        <v>212</v>
      </c>
      <c r="E51" s="5">
        <v>13.7450359</v>
      </c>
      <c r="F51" s="5">
        <v>100.5232219</v>
      </c>
      <c r="G51" s="6">
        <v>0.66</v>
      </c>
      <c r="H51" s="3" t="s">
        <v>213</v>
      </c>
      <c r="I51" s="3" t="s">
        <v>214</v>
      </c>
      <c r="J51" s="3" t="s">
        <v>215</v>
      </c>
      <c r="K51" s="7" t="str">
        <f>HYPERLINK("https://www.google.com/maps/search/?api=1&amp;query=TEA%20PEARL&amp;query_place_id=ChIJlZGKHACZ4jARL-eA4Ie6SwI","เปิดแผนที่")</f>
        <v>เปิดแผนที่</v>
      </c>
      <c r="L51" s="3" t="s">
        <v>18</v>
      </c>
    </row>
    <row r="52" spans="1:12" ht="26.4" x14ac:dyDescent="0.3">
      <c r="A52" s="2">
        <v>51</v>
      </c>
      <c r="B52" s="3" t="s">
        <v>196</v>
      </c>
      <c r="C52" s="8" t="s">
        <v>27</v>
      </c>
      <c r="D52" s="3" t="s">
        <v>216</v>
      </c>
      <c r="E52" s="5">
        <v>13.742763800000001</v>
      </c>
      <c r="F52" s="5">
        <v>100.5227538</v>
      </c>
      <c r="G52" s="6">
        <v>0.43</v>
      </c>
      <c r="H52" s="3" t="s">
        <v>217</v>
      </c>
      <c r="I52" s="3" t="s">
        <v>218</v>
      </c>
      <c r="J52" s="3" t="s">
        <v>219</v>
      </c>
      <c r="K52" s="7" t="str">
        <f>HYPERLINK("https://www.google.com/maps/search/?api=1&amp;query=Nokhook%20House%20Cafe&amp;query_place_id=ChIJ5UstNruZ4jAR8IvFsMS0bH8","เปิดแผนที่")</f>
        <v>เปิดแผนที่</v>
      </c>
      <c r="L52" s="3" t="s">
        <v>18</v>
      </c>
    </row>
    <row r="53" spans="1:12" ht="26.4" x14ac:dyDescent="0.3">
      <c r="A53" s="2">
        <v>52</v>
      </c>
      <c r="B53" s="3" t="s">
        <v>196</v>
      </c>
      <c r="C53" s="9" t="s">
        <v>40</v>
      </c>
      <c r="D53" s="3" t="s">
        <v>220</v>
      </c>
      <c r="E53" s="5">
        <v>13.7409018</v>
      </c>
      <c r="F53" s="5">
        <v>100.5224035</v>
      </c>
      <c r="G53" s="6">
        <v>0.28000000000000003</v>
      </c>
      <c r="H53" s="3" t="s">
        <v>221</v>
      </c>
      <c r="I53" s="3" t="s">
        <v>199</v>
      </c>
      <c r="J53" s="3" t="s">
        <v>122</v>
      </c>
      <c r="K53" s="7" t="str">
        <f>HYPERLINK("https://www.google.com/maps/search/?api=1&amp;query=Bingbun&amp;query_place_id=ChIJx-0SOgCZ4jARpHRMxuLkE88","เปิดแผนที่")</f>
        <v>เปิดแผนที่</v>
      </c>
      <c r="L53" s="3" t="s">
        <v>18</v>
      </c>
    </row>
    <row r="54" spans="1:12" ht="26.4" x14ac:dyDescent="0.3">
      <c r="A54" s="2">
        <v>53</v>
      </c>
      <c r="B54" s="3" t="s">
        <v>196</v>
      </c>
      <c r="C54" s="9" t="s">
        <v>40</v>
      </c>
      <c r="D54" s="3" t="s">
        <v>222</v>
      </c>
      <c r="E54" s="5">
        <v>13.739649200000001</v>
      </c>
      <c r="F54" s="5">
        <v>100.5222225</v>
      </c>
      <c r="G54" s="6">
        <v>0.23</v>
      </c>
      <c r="H54" s="3" t="s">
        <v>223</v>
      </c>
      <c r="I54" s="3" t="s">
        <v>224</v>
      </c>
      <c r="J54" s="3" t="s">
        <v>225</v>
      </c>
      <c r="K54" s="7" t="str">
        <f>HYPERLINK("https://www.google.com/maps/search/?api=1&amp;query=Jae%20Wan%20%28%E0%B9%80%E0%B8%88%E0%B9%8A%E0%B9%81%E0%B8%A7%E0%B8%99%29&amp;query_place_id=ChIJFzK8PimZ4jARnkqwKGrzLts","เปิดแผนที่")</f>
        <v>เปิดแผนที่</v>
      </c>
      <c r="L54" s="3" t="s">
        <v>18</v>
      </c>
    </row>
    <row r="55" spans="1:12" ht="26.4" x14ac:dyDescent="0.3">
      <c r="A55" s="2">
        <v>54</v>
      </c>
      <c r="B55" s="3" t="s">
        <v>196</v>
      </c>
      <c r="C55" s="9" t="s">
        <v>40</v>
      </c>
      <c r="D55" s="3" t="s">
        <v>226</v>
      </c>
      <c r="E55" s="5">
        <v>13.739113700000001</v>
      </c>
      <c r="F55" s="5">
        <v>100.5220825</v>
      </c>
      <c r="G55" s="6">
        <v>0.24</v>
      </c>
      <c r="H55" s="3" t="s">
        <v>227</v>
      </c>
      <c r="I55" s="3" t="s">
        <v>228</v>
      </c>
      <c r="J55" s="3" t="s">
        <v>229</v>
      </c>
      <c r="K55" s="7" t="e">
        <f>HYPERLINK(_xlfn._LONGTEXT("https://www.google.com/maps/search/?api=1&amp;query=%E0%B9%81%E0%B8%81%E0%B9%89%E0%B8%A7%E0%B8%81%E0%B8%A5%E0%B9%89%E0%B8%B2%20%E0%B8%82%E0%B8%99%E0%B8%A1%E0%B8%AB%E0%B8%A7%E0%B8%B2%E0%B8%99%E0%B8%81%E0%B8%B0%E0%B8%97%E0%B8%B4%E0%B8%AA%E0%B8%94%20%28KK%20Thai","%20Dessert%29&amp;query_place_id=ChIJ3Zne-SeZ4jARToMmi_3aK_s"),"เปิดแผนที่")</f>
        <v>#VALUE!</v>
      </c>
      <c r="L55" s="3" t="s">
        <v>18</v>
      </c>
    </row>
    <row r="56" spans="1:12" ht="26.4" x14ac:dyDescent="0.3">
      <c r="A56" s="2">
        <v>55</v>
      </c>
      <c r="B56" s="3" t="s">
        <v>230</v>
      </c>
      <c r="C56" s="4" t="s">
        <v>13</v>
      </c>
      <c r="D56" s="3" t="s">
        <v>231</v>
      </c>
      <c r="E56" s="5">
        <v>13.7407445</v>
      </c>
      <c r="F56" s="5">
        <v>100.5093962</v>
      </c>
      <c r="G56" s="6">
        <v>0.13</v>
      </c>
      <c r="H56" s="3" t="s">
        <v>232</v>
      </c>
      <c r="I56" s="3" t="s">
        <v>233</v>
      </c>
      <c r="J56" s="3" t="s">
        <v>234</v>
      </c>
      <c r="K56" s="7" t="str">
        <f>HYPERLINK("https://www.google.com/maps/search/?api=1&amp;query=HAGOW%20Yaowarat&amp;query_place_id=ChIJg_OawsSZ4jARhar1F01_csQ","เปิดแผนที่")</f>
        <v>เปิดแผนที่</v>
      </c>
      <c r="L56" s="3" t="s">
        <v>18</v>
      </c>
    </row>
    <row r="57" spans="1:12" ht="26.4" x14ac:dyDescent="0.3">
      <c r="A57" s="2">
        <v>56</v>
      </c>
      <c r="B57" s="3" t="s">
        <v>230</v>
      </c>
      <c r="C57" s="4" t="s">
        <v>13</v>
      </c>
      <c r="D57" s="3" t="s">
        <v>235</v>
      </c>
      <c r="E57" s="5">
        <v>13.7402038</v>
      </c>
      <c r="F57" s="5">
        <v>100.5099084</v>
      </c>
      <c r="G57" s="6">
        <v>0.06</v>
      </c>
      <c r="H57" s="3" t="s">
        <v>236</v>
      </c>
      <c r="I57" s="3" t="s">
        <v>237</v>
      </c>
      <c r="J57" s="3" t="s">
        <v>238</v>
      </c>
      <c r="K57" s="7" t="str">
        <f>HYPERLINK("https://www.google.com/maps/search/?api=1&amp;query=Laoteng%20%28%E0%B9%80%E0%B8%A5%E0%B9%88%E0%B8%B2%E0%B9%80%E0%B8%95%E0%B9%87%E0%B8%87%29&amp;query_place_id=ChIJJ03QjGOZ4jARdUW-bCQ2u2s","เปิดแผนที่")</f>
        <v>เปิดแผนที่</v>
      </c>
      <c r="L57" s="3" t="s">
        <v>18</v>
      </c>
    </row>
    <row r="58" spans="1:12" ht="26.4" x14ac:dyDescent="0.3">
      <c r="A58" s="2">
        <v>57</v>
      </c>
      <c r="B58" s="3" t="s">
        <v>230</v>
      </c>
      <c r="C58" s="4" t="s">
        <v>13</v>
      </c>
      <c r="D58" s="3" t="s">
        <v>239</v>
      </c>
      <c r="E58" s="5">
        <v>13.740129400000001</v>
      </c>
      <c r="F58" s="5">
        <v>100.5100794</v>
      </c>
      <c r="G58" s="6">
        <v>0.05</v>
      </c>
      <c r="H58" s="3" t="s">
        <v>240</v>
      </c>
      <c r="I58" s="3" t="s">
        <v>241</v>
      </c>
      <c r="J58" s="3" t="s">
        <v>242</v>
      </c>
      <c r="K58" s="7" t="str">
        <f>HYPERLINK("https://www.google.com/maps/search/?api=1&amp;query=Xie%20Chinatown&amp;query_place_id=ChIJqcfmnCGZ4jARBiLzwaax2hQ","เปิดแผนที่")</f>
        <v>เปิดแผนที่</v>
      </c>
      <c r="L58" s="3" t="s">
        <v>18</v>
      </c>
    </row>
    <row r="59" spans="1:12" ht="26.4" x14ac:dyDescent="0.3">
      <c r="A59" s="2">
        <v>58</v>
      </c>
      <c r="B59" s="3" t="s">
        <v>230</v>
      </c>
      <c r="C59" s="8" t="s">
        <v>27</v>
      </c>
      <c r="D59" s="3" t="s">
        <v>243</v>
      </c>
      <c r="E59" s="5">
        <v>13.740630700000001</v>
      </c>
      <c r="F59" s="5">
        <v>100.509181</v>
      </c>
      <c r="G59" s="6">
        <v>0.13</v>
      </c>
      <c r="H59" s="3" t="s">
        <v>244</v>
      </c>
      <c r="I59" s="3" t="s">
        <v>245</v>
      </c>
      <c r="J59" s="3" t="s">
        <v>246</v>
      </c>
      <c r="K59" s="7" t="str">
        <f>HYPERLINK("https://www.google.com/maps/search/?api=1&amp;query=Double%20Dogs%20Tearoom&amp;query_place_id=ChIJH79CmBiZ4jARMdjLCASWygc","เปิดแผนที่")</f>
        <v>เปิดแผนที่</v>
      </c>
      <c r="L59" s="3" t="s">
        <v>18</v>
      </c>
    </row>
    <row r="60" spans="1:12" ht="26.4" x14ac:dyDescent="0.3">
      <c r="A60" s="2">
        <v>59</v>
      </c>
      <c r="B60" s="3" t="s">
        <v>230</v>
      </c>
      <c r="C60" s="8" t="s">
        <v>27</v>
      </c>
      <c r="D60" s="3" t="s">
        <v>247</v>
      </c>
      <c r="E60" s="5">
        <v>13.741114400000001</v>
      </c>
      <c r="F60" s="5">
        <v>100.509889</v>
      </c>
      <c r="G60" s="6">
        <v>0.16</v>
      </c>
      <c r="H60" s="3" t="s">
        <v>248</v>
      </c>
      <c r="I60" s="3" t="s">
        <v>249</v>
      </c>
      <c r="J60" s="3" t="s">
        <v>250</v>
      </c>
      <c r="K60" s="7" t="str">
        <f>HYPERLINK("https://www.google.com/maps/search/?api=1&amp;query=Siam%20Heng%20Huat%20Bai%20Cha%20Shop%20%28%E0%B8%AA%E0%B8%A2%E0%B8%B2%E0%B8%A1%E0%B9%80%E0%B8%AE%E0%B8%87%E0%B8%AE%E0%B8%A7%E0%B8%94%29&amp;query_place_id=ChIJCcEDgCGZ4jARv0rIMlI8o8g","เปิดแผนที่")</f>
        <v>เปิดแผนที่</v>
      </c>
      <c r="L60" s="3" t="s">
        <v>18</v>
      </c>
    </row>
    <row r="61" spans="1:12" ht="26.4" x14ac:dyDescent="0.3">
      <c r="A61" s="2">
        <v>60</v>
      </c>
      <c r="B61" s="3" t="s">
        <v>230</v>
      </c>
      <c r="C61" s="8" t="s">
        <v>27</v>
      </c>
      <c r="D61" s="3" t="s">
        <v>251</v>
      </c>
      <c r="E61" s="5">
        <v>13.742526</v>
      </c>
      <c r="F61" s="5">
        <v>100.50983840000001</v>
      </c>
      <c r="G61" s="6">
        <v>0.31</v>
      </c>
      <c r="H61" s="3" t="s">
        <v>252</v>
      </c>
      <c r="I61" s="3" t="s">
        <v>253</v>
      </c>
      <c r="J61" s="3" t="s">
        <v>254</v>
      </c>
      <c r="K61" s="7" t="str">
        <f>HYPERLINK("https://www.google.com/maps/search/?api=1&amp;query=THREE%20TEA%20POTS%20by%20Ew%20Kee%20Tea&amp;query_place_id=ChIJt5EP4UqZ4jAR4sUvrUikzSE","เปิดแผนที่")</f>
        <v>เปิดแผนที่</v>
      </c>
      <c r="L61" s="3" t="s">
        <v>18</v>
      </c>
    </row>
    <row r="62" spans="1:12" ht="26.4" x14ac:dyDescent="0.3">
      <c r="A62" s="2">
        <v>61</v>
      </c>
      <c r="B62" s="3" t="s">
        <v>230</v>
      </c>
      <c r="C62" s="9" t="s">
        <v>40</v>
      </c>
      <c r="D62" s="3" t="s">
        <v>255</v>
      </c>
      <c r="E62" s="5">
        <v>13.740326</v>
      </c>
      <c r="F62" s="5">
        <v>100.5098555</v>
      </c>
      <c r="G62" s="6">
        <v>7.0000000000000007E-2</v>
      </c>
      <c r="H62" s="3" t="s">
        <v>256</v>
      </c>
      <c r="I62" s="3" t="s">
        <v>257</v>
      </c>
      <c r="J62" s="3" t="s">
        <v>258</v>
      </c>
      <c r="K62" s="7" t="str">
        <f>HYPERLINK("https://www.google.com/maps/search/?api=1&amp;query=Sweettime&amp;query_place_id=ChIJI5IJnSGZ4jAR_BRDFrSbdH0","เปิดแผนที่")</f>
        <v>เปิดแผนที่</v>
      </c>
      <c r="L62" s="3" t="s">
        <v>18</v>
      </c>
    </row>
    <row r="63" spans="1:12" ht="26.4" x14ac:dyDescent="0.3">
      <c r="A63" s="2">
        <v>62</v>
      </c>
      <c r="B63" s="3" t="s">
        <v>230</v>
      </c>
      <c r="C63" s="9" t="s">
        <v>40</v>
      </c>
      <c r="D63" s="3" t="s">
        <v>259</v>
      </c>
      <c r="E63" s="5">
        <v>13.7408783</v>
      </c>
      <c r="F63" s="5">
        <v>100.5110849</v>
      </c>
      <c r="G63" s="6">
        <v>0.18</v>
      </c>
      <c r="H63" s="3" t="s">
        <v>260</v>
      </c>
      <c r="I63" s="3" t="s">
        <v>261</v>
      </c>
      <c r="J63" s="3" t="s">
        <v>262</v>
      </c>
      <c r="K63" s="7" t="str">
        <f>HYPERLINK("https://www.google.com/maps/search/?api=1&amp;query=Ba%20Hao%20Tian%20Mi%20-%20Yaowarat&amp;query_place_id=ChIJ2dYIoeeZ4jARgBOBTWYpMrw","เปิดแผนที่")</f>
        <v>เปิดแผนที่</v>
      </c>
      <c r="L63" s="3" t="s">
        <v>18</v>
      </c>
    </row>
    <row r="64" spans="1:12" ht="26.4" x14ac:dyDescent="0.3">
      <c r="A64" s="2">
        <v>63</v>
      </c>
      <c r="B64" s="3" t="s">
        <v>230</v>
      </c>
      <c r="C64" s="9" t="s">
        <v>40</v>
      </c>
      <c r="D64" s="3" t="s">
        <v>263</v>
      </c>
      <c r="E64" s="5">
        <v>13.742213599999999</v>
      </c>
      <c r="F64" s="5">
        <v>100.510526</v>
      </c>
      <c r="G64" s="6">
        <v>0.28999999999999998</v>
      </c>
      <c r="H64" s="3" t="s">
        <v>264</v>
      </c>
      <c r="I64" s="3" t="s">
        <v>265</v>
      </c>
      <c r="J64" s="3" t="s">
        <v>266</v>
      </c>
      <c r="K64" s="7" t="e">
        <f>HYPERLINK(_xlfn._LONGTEXT("https://www.google.com/maps/search/?api=1&amp;query=Che%20Muai%20Mi%20Wan%20%28%E0%B9%80%E0%B8%89%E0%B9%8B%E0%B8%B2%E0%B8%81%E0%B9%8A%E0%B8%A7%E0%B8%A2%E0%B8%AB%E0%B8%A1%E0%B8%A7%E0%B8%A2%E0%B8%A1%E0%B8%B5%E0%B8%AB%E0%B8%A7%E0%B8%B2%E0%B8%99%29&amp;query_place_id","=ChIJ87Kr8yGZ4jARCcnpigaGLP4"),"เปิดแผนที่")</f>
        <v>#VALUE!</v>
      </c>
      <c r="L64" s="3" t="s">
        <v>18</v>
      </c>
    </row>
    <row r="65" spans="1:12" ht="26.4" x14ac:dyDescent="0.3">
      <c r="A65" s="2">
        <v>64</v>
      </c>
      <c r="B65" s="3" t="s">
        <v>267</v>
      </c>
      <c r="C65" s="4" t="s">
        <v>13</v>
      </c>
      <c r="D65" s="3" t="s">
        <v>268</v>
      </c>
      <c r="E65" s="5">
        <v>13.73075</v>
      </c>
      <c r="F65" s="5">
        <v>100.46353999999999</v>
      </c>
      <c r="G65" s="6">
        <v>0.06</v>
      </c>
      <c r="H65" s="3" t="s">
        <v>269</v>
      </c>
      <c r="I65" s="3" t="s">
        <v>270</v>
      </c>
      <c r="J65" s="3" t="s">
        <v>271</v>
      </c>
      <c r="K65" s="7" t="str">
        <f>HYPERLINK("https://www.google.com/maps/search/?api=1&amp;query=Khun%20Aoi%27s%20Kitchen%20%28%E0%B8%84%E0%B8%A3%E0%B8%B1%E0%B8%A7%E0%B8%84%E0%B8%B8%E0%B8%93%E0%B8%AD%E0%B9%89%E0%B8%AD%E0%B8%A2%29&amp;query_place_id=ChIJIwWhlEmY4jARKlgNkAARFJQ","เปิดแผนที่")</f>
        <v>เปิดแผนที่</v>
      </c>
      <c r="L65" s="3" t="s">
        <v>18</v>
      </c>
    </row>
    <row r="66" spans="1:12" ht="26.4" x14ac:dyDescent="0.3">
      <c r="A66" s="2">
        <v>65</v>
      </c>
      <c r="B66" s="3" t="s">
        <v>267</v>
      </c>
      <c r="C66" s="4" t="s">
        <v>13</v>
      </c>
      <c r="D66" s="3" t="s">
        <v>272</v>
      </c>
      <c r="E66" s="5">
        <v>13.73091</v>
      </c>
      <c r="F66" s="5">
        <v>100.46319</v>
      </c>
      <c r="G66" s="6">
        <v>0.03</v>
      </c>
      <c r="H66" s="3" t="s">
        <v>273</v>
      </c>
      <c r="I66" s="3" t="s">
        <v>274</v>
      </c>
      <c r="J66" s="3" t="s">
        <v>275</v>
      </c>
      <c r="K66" s="7" t="str">
        <f>HYPERLINK("https://www.google.com/maps/search/?api=1&amp;query=Baan%20Plern%20Jitt%20%28%E0%B8%9A%E0%B9%89%E0%B8%B2%E0%B8%99%E0%B9%80%E0%B8%9E%E0%B8%A5%E0%B8%B4%E0%B8%99%E0%B8%88%E0%B8%B4%E0%B8%95%29&amp;query_place_id=ChIJQd2TUOyZ4jAR_5b3Z6wVvzE","เปิดแผนที่")</f>
        <v>เปิดแผนที่</v>
      </c>
      <c r="L66" s="3" t="s">
        <v>18</v>
      </c>
    </row>
    <row r="67" spans="1:12" ht="26.4" x14ac:dyDescent="0.3">
      <c r="A67" s="2">
        <v>66</v>
      </c>
      <c r="B67" s="3" t="s">
        <v>267</v>
      </c>
      <c r="C67" s="4" t="s">
        <v>13</v>
      </c>
      <c r="D67" s="3" t="s">
        <v>276</v>
      </c>
      <c r="E67" s="5">
        <v>13.7263135</v>
      </c>
      <c r="F67" s="5">
        <v>100.458978</v>
      </c>
      <c r="G67" s="6">
        <v>0.72</v>
      </c>
      <c r="H67" s="3" t="s">
        <v>277</v>
      </c>
      <c r="I67" s="3" t="s">
        <v>278</v>
      </c>
      <c r="J67" s="3" t="s">
        <v>279</v>
      </c>
      <c r="K67" s="7" t="str">
        <f>HYPERLINK("https://www.google.com/maps/search/?api=1&amp;query=Chaai-Samai%202498%20Bangkok&amp;query_place_id=ChIJk4cFjByZ4jAR9rbLbQM3G1c","เปิดแผนที่")</f>
        <v>เปิดแผนที่</v>
      </c>
      <c r="L67" s="3" t="s">
        <v>18</v>
      </c>
    </row>
    <row r="68" spans="1:12" ht="26.4" x14ac:dyDescent="0.3">
      <c r="A68" s="2">
        <v>67</v>
      </c>
      <c r="B68" s="3" t="s">
        <v>267</v>
      </c>
      <c r="C68" s="8" t="s">
        <v>27</v>
      </c>
      <c r="D68" s="3" t="s">
        <v>280</v>
      </c>
      <c r="E68" s="5">
        <v>13.73212</v>
      </c>
      <c r="F68" s="5">
        <v>100.46281</v>
      </c>
      <c r="G68" s="6">
        <v>0.12</v>
      </c>
      <c r="H68" s="3" t="s">
        <v>281</v>
      </c>
      <c r="I68" s="3" t="s">
        <v>282</v>
      </c>
      <c r="J68" s="3" t="s">
        <v>122</v>
      </c>
      <c r="K68" s="7" t="str">
        <f>HYPERLINK("https://www.google.com/maps/search/?api=1&amp;query=Baan%20Khlong%20Luang%20Cafe%20Khlongbangluang&amp;query_place_id=ChIJ829BuVyZ4jARomvWRybOhI0","เปิดแผนที่")</f>
        <v>เปิดแผนที่</v>
      </c>
      <c r="L68" s="3" t="s">
        <v>18</v>
      </c>
    </row>
    <row r="69" spans="1:12" ht="26.4" x14ac:dyDescent="0.3">
      <c r="A69" s="2">
        <v>68</v>
      </c>
      <c r="B69" s="3" t="s">
        <v>267</v>
      </c>
      <c r="C69" s="8" t="s">
        <v>27</v>
      </c>
      <c r="D69" s="3" t="s">
        <v>283</v>
      </c>
      <c r="E69" s="5">
        <v>13.7308418</v>
      </c>
      <c r="F69" s="5">
        <v>100.4634483</v>
      </c>
      <c r="G69" s="6">
        <v>0.04</v>
      </c>
      <c r="H69" s="3" t="s">
        <v>284</v>
      </c>
      <c r="I69" s="3" t="s">
        <v>285</v>
      </c>
      <c r="J69" s="3" t="s">
        <v>271</v>
      </c>
      <c r="K69" s="7" t="str">
        <f>HYPERLINK("https://www.google.com/maps/search/?api=1&amp;query=%E0%B8%84%E0%B8%B2%E0%B9%80%E0%B8%9F%E0%B9%88%E0%B8%9A%E0%B9%89%E0%B8%B2%E0%B8%99%E0%B8%9E%E0%B8%B6%E0%B9%88%E0%B8%87%E0%B8%A8%E0%B8%B4%E0%B8%A5%E0%B8%9B%E0%B9%8C&amp;query_place_id=ChIJdwVRcayZ4jARWYOrvCMw5XM","เปิดแผนที่")</f>
        <v>เปิดแผนที่</v>
      </c>
      <c r="L69" s="3" t="s">
        <v>18</v>
      </c>
    </row>
    <row r="70" spans="1:12" ht="26.4" x14ac:dyDescent="0.3">
      <c r="A70" s="2">
        <v>69</v>
      </c>
      <c r="B70" s="3" t="s">
        <v>267</v>
      </c>
      <c r="C70" s="8" t="s">
        <v>27</v>
      </c>
      <c r="D70" s="3" t="s">
        <v>286</v>
      </c>
      <c r="E70" s="5">
        <v>13.731232</v>
      </c>
      <c r="F70" s="5">
        <v>100.46333420000001</v>
      </c>
      <c r="G70" s="6">
        <v>0.01</v>
      </c>
      <c r="H70" s="3" t="s">
        <v>287</v>
      </c>
      <c r="I70" s="3" t="s">
        <v>288</v>
      </c>
      <c r="J70" s="3" t="s">
        <v>289</v>
      </c>
      <c r="K70" s="7" t="e">
        <f>HYPERLINK(_xlfn._LONGTEXT("https://www.google.com/maps/search/?api=1&amp;query=The%20Artist%20House%20Bangkok%20%28%E0%B8%84%E0%B8%B2%E0%B9%80%E0%B8%9F%E0%B9%88%E0%B9%83%E0%B8%99%E0%B8%9A%E0%B9%89%E0%B8%B2%E0%B8%99%E0%B8%A8%E0%B8%B4%E0%B8%A5%E0%B8%9B%E0%B8%B4%E0%B8%99%29&amp;query_place_id","=ChIJF6uVAzt9HTEROKM0WKZMU7M"),"เปิดแผนที่")</f>
        <v>#VALUE!</v>
      </c>
      <c r="L70" s="3" t="s">
        <v>18</v>
      </c>
    </row>
    <row r="71" spans="1:12" ht="26.4" x14ac:dyDescent="0.3">
      <c r="A71" s="2">
        <v>70</v>
      </c>
      <c r="B71" s="3" t="s">
        <v>267</v>
      </c>
      <c r="C71" s="9" t="s">
        <v>40</v>
      </c>
      <c r="D71" s="3" t="s">
        <v>290</v>
      </c>
      <c r="E71" s="5">
        <v>13.73047</v>
      </c>
      <c r="F71" s="5">
        <v>100.46355</v>
      </c>
      <c r="G71" s="6">
        <v>0.09</v>
      </c>
      <c r="H71" s="3" t="s">
        <v>291</v>
      </c>
      <c r="I71" s="3" t="s">
        <v>292</v>
      </c>
      <c r="J71" s="3" t="s">
        <v>293</v>
      </c>
      <c r="K71" s="7" t="e">
        <f>HYPERLINK(_xlfn._LONGTEXT("https://www.google.com/maps/search/?api=1&amp;query=%E0%B8%82%E0%B8%99%E0%B8%A1%E0%B9%80%E0%B8%9A%E0%B8%B7%E0%B9%89%E0%B8%AD%E0%B8%87%E0%B9%81%E0%B8%A1%E0%B9%88%E0%B9%81%E0%B8%AD%E0%B8%94%20%28%E0%B8%84%E0%B8%A5%E0%B8%AD%E0%B8%87%E0%B8%9A%E0%B8%B2%E0%B8%87%E0","%B8%AB%E0%B8%A5%E0%B8%A7%E0%B8%87%29&amp;query_place_id=ChIJIRC5fQCZ4jARxXARpHOPKzM"),"เปิดแผนที่")</f>
        <v>#VALUE!</v>
      </c>
      <c r="L71" s="3" t="s">
        <v>18</v>
      </c>
    </row>
    <row r="72" spans="1:12" ht="26.4" x14ac:dyDescent="0.3">
      <c r="A72" s="2">
        <v>71</v>
      </c>
      <c r="B72" s="3" t="s">
        <v>267</v>
      </c>
      <c r="C72" s="9" t="s">
        <v>40</v>
      </c>
      <c r="D72" s="3" t="s">
        <v>294</v>
      </c>
      <c r="E72" s="5">
        <v>13.73043</v>
      </c>
      <c r="F72" s="5">
        <v>100.46417</v>
      </c>
      <c r="G72" s="6">
        <v>0.13</v>
      </c>
      <c r="H72" s="3" t="s">
        <v>295</v>
      </c>
      <c r="I72" s="3" t="s">
        <v>296</v>
      </c>
      <c r="J72" s="3" t="s">
        <v>297</v>
      </c>
      <c r="K72" s="7" t="str">
        <f>HYPERLINK("https://www.google.com/maps/search/?api=1&amp;query=%E0%B9%80%E0%B8%A8%E0%B8%A3%E0%B8%A9%E0%B8%90%E0%B8%B5%E0%B8%99%E0%B8%B5%20%E0%B8%82%E0%B8%99%E0%B8%A1%E0%B9%84%E0%B8%97%E0%B8%A2%20%28Zetinee%29&amp;query_place_id=ChIJT9ICBAOZ4jARCo3fwpDrQmw","เปิดแผนที่")</f>
        <v>เปิดแผนที่</v>
      </c>
      <c r="L72" s="3" t="s">
        <v>18</v>
      </c>
    </row>
    <row r="73" spans="1:12" ht="26.4" x14ac:dyDescent="0.3">
      <c r="A73" s="2">
        <v>72</v>
      </c>
      <c r="B73" s="3" t="s">
        <v>267</v>
      </c>
      <c r="C73" s="9" t="s">
        <v>40</v>
      </c>
      <c r="D73" s="3" t="s">
        <v>298</v>
      </c>
      <c r="E73" s="5">
        <v>13.7316</v>
      </c>
      <c r="F73" s="5">
        <v>100.46248</v>
      </c>
      <c r="G73" s="6">
        <v>0.1</v>
      </c>
      <c r="H73" s="3" t="s">
        <v>299</v>
      </c>
      <c r="I73" s="3" t="s">
        <v>300</v>
      </c>
      <c r="J73" s="3" t="s">
        <v>301</v>
      </c>
      <c r="K73" s="7" t="str">
        <f>HYPERLINK("https://www.google.com/maps/search/?api=1&amp;query=Meow%20Meow%20Roll%20-%20%E0%B8%82%E0%B8%99%E0%B8%A1%E0%B9%82%E0%B8%95%E0%B9%80%E0%B8%81%E0%B8%B5%E0%B8%A2%E0%B8%A7&amp;query_place_id=ChIJ-xFr-ieZ4jAR7Eyiebjcuwc","เปิดแผนที่")</f>
        <v>เปิดแผนที่</v>
      </c>
      <c r="L73" s="3" t="s">
        <v>18</v>
      </c>
    </row>
    <row r="74" spans="1:12" ht="26.4" x14ac:dyDescent="0.3">
      <c r="A74" s="2">
        <v>73</v>
      </c>
      <c r="B74" s="3" t="s">
        <v>302</v>
      </c>
      <c r="C74" s="4" t="s">
        <v>13</v>
      </c>
      <c r="D74" s="3" t="s">
        <v>303</v>
      </c>
      <c r="E74" s="5">
        <v>13.763540000000001</v>
      </c>
      <c r="F74" s="5">
        <v>100.49551</v>
      </c>
      <c r="G74" s="6">
        <v>0.12</v>
      </c>
      <c r="H74" s="3" t="s">
        <v>304</v>
      </c>
      <c r="I74" s="3" t="s">
        <v>305</v>
      </c>
      <c r="J74" s="3" t="s">
        <v>306</v>
      </c>
      <c r="K74" s="7" t="str">
        <f>HYPERLINK("https://www.google.com/maps/search/?api=1&amp;query=Nopparat%20Cuisine%20and%20Gallery&amp;query_place_id=ChIJOcegC3KZ4jARcSGQACiRaHw","เปิดแผนที่")</f>
        <v>เปิดแผนที่</v>
      </c>
      <c r="L74" s="3" t="s">
        <v>18</v>
      </c>
    </row>
    <row r="75" spans="1:12" ht="26.4" x14ac:dyDescent="0.3">
      <c r="A75" s="2">
        <v>74</v>
      </c>
      <c r="B75" s="3" t="s">
        <v>302</v>
      </c>
      <c r="C75" s="4" t="s">
        <v>13</v>
      </c>
      <c r="D75" s="3" t="s">
        <v>307</v>
      </c>
      <c r="E75" s="5">
        <v>13.76347</v>
      </c>
      <c r="F75" s="5">
        <v>100.4943</v>
      </c>
      <c r="G75" s="6">
        <v>0.04</v>
      </c>
      <c r="H75" s="3" t="s">
        <v>308</v>
      </c>
      <c r="I75" s="3" t="s">
        <v>309</v>
      </c>
      <c r="J75" s="3" t="s">
        <v>310</v>
      </c>
      <c r="K75" s="7" t="e">
        <f>HYPERLINK(_xlfn._LONGTEXT("https://www.google.com/maps/search/?api=1&amp;query=Arthit%20Noodle%20Club%20%7C%20%E0%B8%81%E0%B9%8B%E0%B8%A7%E0%B8%A2%E0%B9%80%E0%B8%95%E0%B8%B5%E0%B9%8B%E0%B8%A2%E0%B8%A7%E0%B8%95%E0%B9%89%E0%B8%A1%E0%B8%A2%E0%B8%B3&amp;query_place_id=ChIJbRv0f9uZ4jAR9pXEQs6Vc","4Y"),"เปิดแผนที่")</f>
        <v>#VALUE!</v>
      </c>
      <c r="L75" s="3" t="s">
        <v>18</v>
      </c>
    </row>
    <row r="76" spans="1:12" ht="26.4" x14ac:dyDescent="0.3">
      <c r="A76" s="2">
        <v>75</v>
      </c>
      <c r="B76" s="3" t="s">
        <v>302</v>
      </c>
      <c r="C76" s="4" t="s">
        <v>13</v>
      </c>
      <c r="D76" s="3" t="s">
        <v>311</v>
      </c>
      <c r="E76" s="5">
        <v>13.761839999999999</v>
      </c>
      <c r="F76" s="5">
        <v>100.49464999999999</v>
      </c>
      <c r="G76" s="6">
        <v>0.15</v>
      </c>
      <c r="H76" s="3" t="s">
        <v>312</v>
      </c>
      <c r="I76" s="3" t="s">
        <v>313</v>
      </c>
      <c r="J76" s="3" t="s">
        <v>314</v>
      </c>
      <c r="K76" s="7" t="str">
        <f>HYPERLINK("https://www.google.com/maps/search/?api=1&amp;query=Botanic%20Backyard%20Bar%20%26%20Restaurant&amp;query_place_id=ChIJMwd7y3-Z4jAR6jv3ZlUVEC0","เปิดแผนที่")</f>
        <v>เปิดแผนที่</v>
      </c>
      <c r="L76" s="3" t="s">
        <v>18</v>
      </c>
    </row>
    <row r="77" spans="1:12" ht="26.4" x14ac:dyDescent="0.3">
      <c r="A77" s="2">
        <v>76</v>
      </c>
      <c r="B77" s="3" t="s">
        <v>302</v>
      </c>
      <c r="C77" s="8" t="s">
        <v>27</v>
      </c>
      <c r="D77" s="3" t="s">
        <v>315</v>
      </c>
      <c r="E77" s="5">
        <v>13.762370000000001</v>
      </c>
      <c r="F77" s="5">
        <v>100.49321</v>
      </c>
      <c r="G77" s="6">
        <v>0.17</v>
      </c>
      <c r="H77" s="3" t="s">
        <v>316</v>
      </c>
      <c r="I77" s="3" t="s">
        <v>270</v>
      </c>
      <c r="J77" s="3" t="s">
        <v>317</v>
      </c>
      <c r="K77" s="7" t="str">
        <f>HYPERLINK("https://www.google.com/maps/search/?api=1&amp;query=Petit%20Soleil&amp;query_place_id=ChIJO7ptd-OZ4jARRc08spnhUY4","เปิดแผนที่")</f>
        <v>เปิดแผนที่</v>
      </c>
      <c r="L77" s="3" t="s">
        <v>18</v>
      </c>
    </row>
    <row r="78" spans="1:12" ht="26.4" x14ac:dyDescent="0.3">
      <c r="A78" s="2">
        <v>77</v>
      </c>
      <c r="B78" s="3" t="s">
        <v>302</v>
      </c>
      <c r="C78" s="8" t="s">
        <v>27</v>
      </c>
      <c r="D78" s="3" t="s">
        <v>318</v>
      </c>
      <c r="E78" s="5">
        <v>13.763529999999999</v>
      </c>
      <c r="F78" s="5">
        <v>100.49424999999999</v>
      </c>
      <c r="G78" s="6">
        <v>0.05</v>
      </c>
      <c r="H78" s="3" t="s">
        <v>319</v>
      </c>
      <c r="I78" s="3" t="s">
        <v>320</v>
      </c>
      <c r="J78" s="3" t="s">
        <v>321</v>
      </c>
      <c r="K78" s="7" t="str">
        <f>HYPERLINK("https://www.google.com/maps/search/?api=1&amp;query=The%20Sourdough%20Club&amp;query_place_id=ChIJlYLfvU6Z4jARmwl8wPMYGCw","เปิดแผนที่")</f>
        <v>เปิดแผนที่</v>
      </c>
      <c r="L78" s="3" t="s">
        <v>18</v>
      </c>
    </row>
    <row r="79" spans="1:12" ht="26.4" x14ac:dyDescent="0.3">
      <c r="A79" s="2">
        <v>78</v>
      </c>
      <c r="B79" s="3" t="s">
        <v>302</v>
      </c>
      <c r="C79" s="8" t="s">
        <v>27</v>
      </c>
      <c r="D79" s="3" t="s">
        <v>322</v>
      </c>
      <c r="E79" s="5">
        <v>13.763579999999999</v>
      </c>
      <c r="F79" s="5">
        <v>100.49429000000001</v>
      </c>
      <c r="G79" s="6">
        <v>0.05</v>
      </c>
      <c r="H79" s="3" t="s">
        <v>319</v>
      </c>
      <c r="I79" s="3" t="s">
        <v>323</v>
      </c>
      <c r="J79" s="3" t="s">
        <v>324</v>
      </c>
      <c r="K79" s="7" t="str">
        <f>HYPERLINK("https://www.google.com/maps/search/?api=1&amp;query=Sheepshank%20Public%20House&amp;query_place_id=ChIJSWv0PnKZ4jAR5t3IqO36gUA","เปิดแผนที่")</f>
        <v>เปิดแผนที่</v>
      </c>
      <c r="L79" s="3" t="s">
        <v>18</v>
      </c>
    </row>
    <row r="80" spans="1:12" ht="26.4" x14ac:dyDescent="0.3">
      <c r="A80" s="2">
        <v>79</v>
      </c>
      <c r="B80" s="3" t="s">
        <v>302</v>
      </c>
      <c r="C80" s="9" t="s">
        <v>40</v>
      </c>
      <c r="D80" s="3" t="s">
        <v>325</v>
      </c>
      <c r="E80" s="5">
        <v>13.762729999999999</v>
      </c>
      <c r="F80" s="5">
        <v>100.49453</v>
      </c>
      <c r="G80" s="6">
        <v>0.05</v>
      </c>
      <c r="H80" s="3" t="s">
        <v>326</v>
      </c>
      <c r="I80" s="3" t="s">
        <v>327</v>
      </c>
      <c r="J80" s="3" t="s">
        <v>328</v>
      </c>
      <c r="K80" s="7" t="str">
        <f>HYPERLINK("https://www.google.com/maps/search/?api=1&amp;query=Coconut%20Culture%20Bangkok&amp;query_place_id=ChIJtdWsZleZ4jARJHddpcihlco","เปิดแผนที่")</f>
        <v>เปิดแผนที่</v>
      </c>
      <c r="L80" s="3" t="s">
        <v>18</v>
      </c>
    </row>
    <row r="81" spans="1:12" ht="26.4" x14ac:dyDescent="0.3">
      <c r="A81" s="2">
        <v>80</v>
      </c>
      <c r="B81" s="3" t="s">
        <v>302</v>
      </c>
      <c r="C81" s="9" t="s">
        <v>40</v>
      </c>
      <c r="D81" s="3" t="s">
        <v>329</v>
      </c>
      <c r="E81" s="5">
        <v>13.76327</v>
      </c>
      <c r="F81" s="5">
        <v>100.49467</v>
      </c>
      <c r="G81" s="6">
        <v>0.02</v>
      </c>
      <c r="H81" s="3" t="s">
        <v>308</v>
      </c>
      <c r="I81" s="3" t="s">
        <v>330</v>
      </c>
      <c r="J81" s="3" t="s">
        <v>122</v>
      </c>
      <c r="K81" s="7" t="str">
        <f>HYPERLINK("https://www.google.com/maps/search/?api=1&amp;query=CIT%20Coconut%20Ice%20Cream&amp;query_place_id=ChIJ39FsRACZ4jARUDpm-30ycuY","เปิดแผนที่")</f>
        <v>เปิดแผนที่</v>
      </c>
      <c r="L81" s="3" t="s">
        <v>18</v>
      </c>
    </row>
    <row r="82" spans="1:12" ht="26.4" x14ac:dyDescent="0.3">
      <c r="A82" s="2">
        <v>81</v>
      </c>
      <c r="B82" s="3" t="s">
        <v>302</v>
      </c>
      <c r="C82" s="9" t="s">
        <v>40</v>
      </c>
      <c r="D82" s="3" t="s">
        <v>331</v>
      </c>
      <c r="E82" s="5">
        <v>13.762549999999999</v>
      </c>
      <c r="F82" s="5">
        <v>100.49794</v>
      </c>
      <c r="G82" s="6">
        <v>0.38</v>
      </c>
      <c r="H82" s="3" t="s">
        <v>332</v>
      </c>
      <c r="I82" s="3" t="s">
        <v>333</v>
      </c>
      <c r="J82" s="3" t="s">
        <v>122</v>
      </c>
      <c r="K82" s="7" t="e">
        <f>HYPERLINK(_xlfn._LONGTEXT("https://www.google.com/maps/search/?api=1&amp;query=%E0%B8%A3%E0%B9%89%E0%B8%B2%E0%B8%99%E0%B8%82%E0%B8%99%E0%B8%A1%E0%B9%84%E0%B8%97%E0%B8%A2%20%E0%B9%81%E0%B8%A1%E0%B9%88%E0%B8%87%E0%B8%B2%E0%B8%A1%E0%B8%88%E0%B8%B4%E0%B8%95%20%E0%B8%9A%E0%B8%B2%E0%B8%87%E0","%B8%A5%E0%B8%B3%E0%B8%9E%E0%B8%B9&amp;query_place_id=ChIJwb40l2yZ4jAR1fitphBOjAU"),"เปิดแผนที่")</f>
        <v>#VALUE!</v>
      </c>
      <c r="L82" s="3" t="s">
        <v>18</v>
      </c>
    </row>
    <row r="83" spans="1:12" ht="26.4" x14ac:dyDescent="0.3">
      <c r="A83" s="2">
        <v>82</v>
      </c>
      <c r="B83" s="3" t="s">
        <v>334</v>
      </c>
      <c r="C83" s="4" t="s">
        <v>13</v>
      </c>
      <c r="D83" s="3" t="s">
        <v>335</v>
      </c>
      <c r="E83" s="5">
        <v>13.746650000000001</v>
      </c>
      <c r="F83" s="5">
        <v>100.53039</v>
      </c>
      <c r="G83" s="6">
        <v>0.02</v>
      </c>
      <c r="H83" s="3" t="s">
        <v>336</v>
      </c>
      <c r="I83" s="3" t="s">
        <v>337</v>
      </c>
      <c r="J83" s="3" t="s">
        <v>122</v>
      </c>
      <c r="K83" s="7" t="e">
        <f>HYPERLINK(_xlfn._LONGTEXT("https://www.google.com/maps/search/?api=1&amp;query=Pu%20Tie%20Shrimp%20Wonton%20Noodles%20%28%E0%B8%9B%E0%B8%B9%E0%B8%95%E0%B8%B5%E0%B9%8A%20%E0%B8%9A%E0%B8%B0%E0%B8%AB%E0%B8%A1%E0%B8%B5%E0%B9%88%E0%B9%80%E0%B8%81%E0%B8%B5%E0%B9%8A%E0%B8%A2%E0%B8%A7%E0%B8%81","%E0%B8%B8%E0%B9%89%E0%B8%87%29&amp;query_place_id=ChIJOT6MWs2e4jARBD-fu38Nrho"),"เปิดแผนที่")</f>
        <v>#VALUE!</v>
      </c>
      <c r="L83" s="3" t="s">
        <v>18</v>
      </c>
    </row>
    <row r="84" spans="1:12" ht="26.4" x14ac:dyDescent="0.3">
      <c r="A84" s="2">
        <v>83</v>
      </c>
      <c r="B84" s="3" t="s">
        <v>334</v>
      </c>
      <c r="C84" s="4" t="s">
        <v>13</v>
      </c>
      <c r="D84" s="3" t="s">
        <v>338</v>
      </c>
      <c r="E84" s="5">
        <v>13.74672</v>
      </c>
      <c r="F84" s="5">
        <v>100.53016</v>
      </c>
      <c r="G84" s="6">
        <v>0.01</v>
      </c>
      <c r="H84" s="3" t="s">
        <v>339</v>
      </c>
      <c r="I84" s="3" t="s">
        <v>340</v>
      </c>
      <c r="J84" s="3" t="s">
        <v>341</v>
      </c>
      <c r="K84" s="7" t="str">
        <f>HYPERLINK("https://www.google.com/maps/search/?api=1&amp;query=KrobKun%20%28%E0%B8%81%E0%B8%A3%E0%B8%AD%E0%B8%9A%E0%B8%84%E0%B8%B8%E0%B8%93%29%20%E0%B8%8A%E0%B8%B1%E0%B9%89%E0%B8%99%202%20BACC&amp;query_place_id=ChIJq5Vg_qyf4jARBngvlHb1nhQ","เปิดแผนที่")</f>
        <v>เปิดแผนที่</v>
      </c>
      <c r="L84" s="3" t="s">
        <v>18</v>
      </c>
    </row>
    <row r="85" spans="1:12" ht="26.4" x14ac:dyDescent="0.3">
      <c r="A85" s="2">
        <v>84</v>
      </c>
      <c r="B85" s="3" t="s">
        <v>334</v>
      </c>
      <c r="C85" s="4" t="s">
        <v>13</v>
      </c>
      <c r="D85" s="3" t="s">
        <v>342</v>
      </c>
      <c r="E85" s="5">
        <v>13.746829999999999</v>
      </c>
      <c r="F85" s="5">
        <v>100.53044</v>
      </c>
      <c r="G85" s="6">
        <v>0.03</v>
      </c>
      <c r="H85" s="3" t="s">
        <v>343</v>
      </c>
      <c r="I85" s="3" t="s">
        <v>344</v>
      </c>
      <c r="J85" s="3" t="s">
        <v>345</v>
      </c>
      <c r="K85" s="7" t="str">
        <f>HYPERLINK("https://www.google.com/maps/search/?api=1&amp;query=Le%20Pla%20Daak%20%28%E0%B9%80%E0%B8%A5%E0%B8%AD%E0%B8%9B%E0%B8%A5%E0%B8%B2%E0%B9%81%E0%B8%94%E0%B8%81%29%20%E0%B8%8A%E0%B8%B1%E0%B9%89%E0%B8%99%204%20BACC&amp;query_place_id=ChIJx5kHh42f4jARhsqSPkVXyi8","เปิดแผนที่")</f>
        <v>เปิดแผนที่</v>
      </c>
      <c r="L85" s="3" t="s">
        <v>18</v>
      </c>
    </row>
    <row r="86" spans="1:12" ht="26.4" x14ac:dyDescent="0.3">
      <c r="A86" s="2">
        <v>85</v>
      </c>
      <c r="B86" s="3" t="s">
        <v>334</v>
      </c>
      <c r="C86" s="8" t="s">
        <v>27</v>
      </c>
      <c r="D86" s="3" t="s">
        <v>346</v>
      </c>
      <c r="E86" s="5">
        <v>13.746689999999999</v>
      </c>
      <c r="F86" s="5">
        <v>100.53043</v>
      </c>
      <c r="G86" s="6">
        <v>0.02</v>
      </c>
      <c r="H86" s="3" t="s">
        <v>347</v>
      </c>
      <c r="I86" s="3" t="s">
        <v>348</v>
      </c>
      <c r="J86" s="3" t="s">
        <v>349</v>
      </c>
      <c r="K86" s="7" t="str">
        <f>HYPERLINK("https://www.google.com/maps/search/?api=1&amp;query=Gallery%20Drip%20Coffee&amp;query_place_id=ChIJ6e7hT82e4jAR4HgD4RW37Tk","เปิดแผนที่")</f>
        <v>เปิดแผนที่</v>
      </c>
      <c r="L86" s="3" t="s">
        <v>18</v>
      </c>
    </row>
    <row r="87" spans="1:12" ht="26.4" x14ac:dyDescent="0.3">
      <c r="A87" s="2">
        <v>86</v>
      </c>
      <c r="B87" s="3" t="s">
        <v>334</v>
      </c>
      <c r="C87" s="8" t="s">
        <v>27</v>
      </c>
      <c r="D87" s="3" t="s">
        <v>350</v>
      </c>
      <c r="E87" s="5">
        <v>13.74677</v>
      </c>
      <c r="F87" s="5">
        <v>100.53037</v>
      </c>
      <c r="G87" s="6">
        <v>0.02</v>
      </c>
      <c r="H87" s="3" t="s">
        <v>351</v>
      </c>
      <c r="I87" s="3" t="s">
        <v>352</v>
      </c>
      <c r="J87" s="3" t="s">
        <v>353</v>
      </c>
      <c r="K87" s="7" t="str">
        <f>HYPERLINK("https://www.google.com/maps/search/?api=1&amp;query=Booms%20%28%E0%B8%8A%E0%B8%B1%E0%B9%89%E0%B8%99%203%20BACC%29&amp;query_place_id=ChIJvVfRke6Z4jARtfVQBDEcrGs","เปิดแผนที่")</f>
        <v>เปิดแผนที่</v>
      </c>
      <c r="L87" s="3" t="s">
        <v>18</v>
      </c>
    </row>
    <row r="88" spans="1:12" ht="26.4" x14ac:dyDescent="0.3">
      <c r="A88" s="2">
        <v>87</v>
      </c>
      <c r="B88" s="3" t="s">
        <v>334</v>
      </c>
      <c r="C88" s="8" t="s">
        <v>27</v>
      </c>
      <c r="D88" s="3" t="s">
        <v>354</v>
      </c>
      <c r="E88" s="5">
        <v>13.74845</v>
      </c>
      <c r="F88" s="5">
        <v>100.52875</v>
      </c>
      <c r="G88" s="6">
        <v>0.25</v>
      </c>
      <c r="H88" s="3" t="s">
        <v>355</v>
      </c>
      <c r="I88" s="3" t="s">
        <v>333</v>
      </c>
      <c r="J88" s="3" t="s">
        <v>356</v>
      </c>
      <c r="K88" s="7" t="str">
        <f>HYPERLINK("https://www.google.com/maps/search/?api=1&amp;query=LIBI%20HOME&amp;query_place_id=ChIJtbPNdyeZ4jAREEaHyqnCwQQ","เปิดแผนที่")</f>
        <v>เปิดแผนที่</v>
      </c>
      <c r="L88" s="3" t="s">
        <v>18</v>
      </c>
    </row>
    <row r="89" spans="1:12" ht="26.4" x14ac:dyDescent="0.3">
      <c r="A89" s="2">
        <v>88</v>
      </c>
      <c r="B89" s="3" t="s">
        <v>334</v>
      </c>
      <c r="C89" s="9" t="s">
        <v>40</v>
      </c>
      <c r="D89" s="3" t="s">
        <v>357</v>
      </c>
      <c r="E89" s="5">
        <v>13.74682</v>
      </c>
      <c r="F89" s="5">
        <v>100.53509</v>
      </c>
      <c r="G89" s="6">
        <v>0.53</v>
      </c>
      <c r="H89" s="3" t="s">
        <v>358</v>
      </c>
      <c r="I89" s="3" t="s">
        <v>359</v>
      </c>
      <c r="J89" s="3" t="s">
        <v>360</v>
      </c>
      <c r="K89" s="7" t="str">
        <f>HYPERLINK("https://www.google.com/maps/search/?api=1&amp;query=kanomsiam%20Siam%20Paragon%20%28%E0%B8%82%E0%B8%99%E0%B8%A1%E0%B8%AA%E0%B8%A2%E0%B8%B2%E0%B8%A1%29&amp;query_place_id=ChIJ7c1QQqOZ4jARG6a6kPo38oo","เปิดแผนที่")</f>
        <v>เปิดแผนที่</v>
      </c>
      <c r="L89" s="3" t="s">
        <v>18</v>
      </c>
    </row>
    <row r="90" spans="1:12" ht="26.4" x14ac:dyDescent="0.3">
      <c r="A90" s="2">
        <v>89</v>
      </c>
      <c r="B90" s="3" t="s">
        <v>334</v>
      </c>
      <c r="C90" s="9" t="s">
        <v>40</v>
      </c>
      <c r="D90" s="3" t="s">
        <v>361</v>
      </c>
      <c r="E90" s="5">
        <v>13.744870000000001</v>
      </c>
      <c r="F90" s="5">
        <v>100.53292</v>
      </c>
      <c r="G90" s="6">
        <v>0.36</v>
      </c>
      <c r="H90" s="3" t="s">
        <v>362</v>
      </c>
      <c r="I90" s="3" t="s">
        <v>261</v>
      </c>
      <c r="J90" s="3" t="s">
        <v>363</v>
      </c>
      <c r="K90" s="7" t="str">
        <f>HYPERLINK("https://www.google.com/maps/search/?api=1&amp;query=Mil%20Toast%20House%20-%20Siam%20Square%20Soi%203&amp;query_place_id=ChIJxwnzCJKf4jARR8hWRCoTGvI","เปิดแผนที่")</f>
        <v>เปิดแผนที่</v>
      </c>
      <c r="L90" s="3" t="s">
        <v>18</v>
      </c>
    </row>
    <row r="91" spans="1:12" ht="26.4" x14ac:dyDescent="0.3">
      <c r="A91" s="2">
        <v>90</v>
      </c>
      <c r="B91" s="3" t="s">
        <v>334</v>
      </c>
      <c r="C91" s="9" t="s">
        <v>40</v>
      </c>
      <c r="D91" s="3" t="s">
        <v>364</v>
      </c>
      <c r="E91" s="5">
        <v>13.74433</v>
      </c>
      <c r="F91" s="5">
        <v>100.53443</v>
      </c>
      <c r="G91" s="6">
        <v>0.53</v>
      </c>
      <c r="H91" s="3" t="s">
        <v>365</v>
      </c>
      <c r="I91" s="3" t="s">
        <v>366</v>
      </c>
      <c r="J91" s="3" t="s">
        <v>367</v>
      </c>
      <c r="K91" s="7" t="str">
        <f>HYPERLINK("https://www.google.com/maps/search/?api=1&amp;query=Siam%20Pandan&amp;query_place_id=ChIJ0xX1UNKe4jAR-WZptZL_-uk","เปิดแผนที่")</f>
        <v>เปิดแผนที่</v>
      </c>
      <c r="L91" s="3" t="s">
        <v>18</v>
      </c>
    </row>
    <row r="92" spans="1:12" ht="26.4" x14ac:dyDescent="0.3">
      <c r="A92" s="2">
        <v>91</v>
      </c>
      <c r="B92" s="3" t="s">
        <v>368</v>
      </c>
      <c r="C92" s="4" t="s">
        <v>13</v>
      </c>
      <c r="D92" s="3" t="s">
        <v>369</v>
      </c>
      <c r="E92" s="5">
        <v>13.70523</v>
      </c>
      <c r="F92" s="5">
        <v>100.50219</v>
      </c>
      <c r="G92" s="6">
        <v>0.15</v>
      </c>
      <c r="H92" s="3" t="s">
        <v>370</v>
      </c>
      <c r="I92" s="3" t="s">
        <v>371</v>
      </c>
      <c r="J92" s="3" t="s">
        <v>372</v>
      </c>
      <c r="K92" s="7" t="str">
        <f>HYPERLINK("https://www.google.com/maps/search/?api=1&amp;query=Sirimahannop%20%28%E0%B8%A8%E0%B8%B4%E0%B8%A3%E0%B8%B4%E0%B8%A1%E0%B8%AB%E0%B8%B2%E0%B8%99%E0%B8%9E%29&amp;query_place_id=ChIJNxVoORuf4jARgnrw6F9dzdc","เปิดแผนที่")</f>
        <v>เปิดแผนที่</v>
      </c>
      <c r="L92" s="3" t="s">
        <v>18</v>
      </c>
    </row>
    <row r="93" spans="1:12" ht="26.4" x14ac:dyDescent="0.3">
      <c r="A93" s="2">
        <v>92</v>
      </c>
      <c r="B93" s="3" t="s">
        <v>368</v>
      </c>
      <c r="C93" s="4" t="s">
        <v>13</v>
      </c>
      <c r="D93" s="3" t="s">
        <v>373</v>
      </c>
      <c r="E93" s="5">
        <v>13.704829999999999</v>
      </c>
      <c r="F93" s="5">
        <v>100.50211</v>
      </c>
      <c r="G93" s="6">
        <v>0.13</v>
      </c>
      <c r="H93" s="3" t="s">
        <v>374</v>
      </c>
      <c r="I93" s="3" t="s">
        <v>371</v>
      </c>
      <c r="J93" s="3" t="s">
        <v>375</v>
      </c>
      <c r="K93" s="7" t="str">
        <f>HYPERLINK("https://www.google.com/maps/search/?api=1&amp;query=Sail%20To%20The%20Moon%20By%20Nakorn&amp;query_place_id=ChIJHQAgyI2j4jARReexfH3uHeI","เปิดแผนที่")</f>
        <v>เปิดแผนที่</v>
      </c>
      <c r="L93" s="3" t="s">
        <v>18</v>
      </c>
    </row>
    <row r="94" spans="1:12" ht="26.4" x14ac:dyDescent="0.3">
      <c r="A94" s="2">
        <v>93</v>
      </c>
      <c r="B94" s="3" t="s">
        <v>368</v>
      </c>
      <c r="C94" s="4" t="s">
        <v>13</v>
      </c>
      <c r="D94" s="3" t="s">
        <v>376</v>
      </c>
      <c r="E94" s="5">
        <v>13.70499</v>
      </c>
      <c r="F94" s="5">
        <v>100.50232</v>
      </c>
      <c r="G94" s="6">
        <v>0.12</v>
      </c>
      <c r="H94" s="3" t="s">
        <v>377</v>
      </c>
      <c r="I94" s="3" t="s">
        <v>378</v>
      </c>
      <c r="J94" s="3" t="s">
        <v>379</v>
      </c>
      <c r="K94" s="7" t="str">
        <f>HYPERLINK("https://www.google.com/maps/search/?api=1&amp;query=Happy%20Fish%20%28%E0%B9%82%E0%B8%81%E0%B8%94%E0%B8%B1%E0%B8%87%208%29&amp;query_place_id=ChIJZS6MApeY4jARB4mNKlFwgaI","เปิดแผนที่")</f>
        <v>เปิดแผนที่</v>
      </c>
      <c r="L94" s="3" t="s">
        <v>18</v>
      </c>
    </row>
    <row r="95" spans="1:12" ht="26.4" x14ac:dyDescent="0.3">
      <c r="A95" s="2">
        <v>94</v>
      </c>
      <c r="B95" s="3" t="s">
        <v>368</v>
      </c>
      <c r="C95" s="8" t="s">
        <v>27</v>
      </c>
      <c r="D95" s="3" t="s">
        <v>380</v>
      </c>
      <c r="E95" s="5">
        <v>13.705360000000001</v>
      </c>
      <c r="F95" s="5">
        <v>100.50284000000001</v>
      </c>
      <c r="G95" s="6">
        <v>0.11</v>
      </c>
      <c r="H95" s="3" t="s">
        <v>381</v>
      </c>
      <c r="I95" s="3" t="s">
        <v>378</v>
      </c>
      <c r="J95" s="3" t="s">
        <v>372</v>
      </c>
      <c r="K95" s="7" t="str">
        <f>HYPERLINK("https://www.google.com/maps/search/?api=1&amp;query=Asiatique%20Ancient%20Tea%20House&amp;query_place_id=ChIJI1DGO3iZ4jARyhWXLVWyHog","เปิดแผนที่")</f>
        <v>เปิดแผนที่</v>
      </c>
      <c r="L95" s="3" t="s">
        <v>18</v>
      </c>
    </row>
    <row r="96" spans="1:12" ht="26.4" x14ac:dyDescent="0.3">
      <c r="A96" s="2">
        <v>95</v>
      </c>
      <c r="B96" s="3" t="s">
        <v>368</v>
      </c>
      <c r="C96" s="8" t="s">
        <v>27</v>
      </c>
      <c r="D96" s="3" t="s">
        <v>382</v>
      </c>
      <c r="E96" s="5">
        <v>13.70377</v>
      </c>
      <c r="F96" s="5">
        <v>100.50324000000001</v>
      </c>
      <c r="G96" s="6">
        <v>7.0000000000000007E-2</v>
      </c>
      <c r="H96" s="3" t="s">
        <v>383</v>
      </c>
      <c r="I96" s="3" t="s">
        <v>384</v>
      </c>
      <c r="J96" s="3" t="s">
        <v>385</v>
      </c>
      <c r="K96" s="7" t="str">
        <f>HYPERLINK("https://www.google.com/maps/search/?api=1&amp;query=La%20Fiore%20Cafe%20Asiatique&amp;query_place_id=ChIJP0Ls1z-Z4jARIa6TS6sI4Dk","เปิดแผนที่")</f>
        <v>เปิดแผนที่</v>
      </c>
      <c r="L96" s="3" t="s">
        <v>18</v>
      </c>
    </row>
    <row r="97" spans="1:12" ht="26.4" x14ac:dyDescent="0.3">
      <c r="A97" s="2">
        <v>96</v>
      </c>
      <c r="B97" s="3" t="s">
        <v>368</v>
      </c>
      <c r="C97" s="8" t="s">
        <v>27</v>
      </c>
      <c r="D97" s="3" t="s">
        <v>386</v>
      </c>
      <c r="E97" s="5">
        <v>13.7037</v>
      </c>
      <c r="F97" s="5">
        <v>100.50398</v>
      </c>
      <c r="G97" s="6">
        <v>0.11</v>
      </c>
      <c r="H97" s="3" t="s">
        <v>374</v>
      </c>
      <c r="I97" s="3" t="s">
        <v>387</v>
      </c>
      <c r="J97" s="3" t="s">
        <v>122</v>
      </c>
      <c r="K97" s="7" t="str">
        <f>HYPERLINK("https://www.google.com/maps/search/?api=1&amp;query=Starbucks%20%40%20Asiatique%20The%20Riverfront&amp;query_place_id=ChIJc8lMcQCZ4jARBg4bOgSFdtA","เปิดแผนที่")</f>
        <v>เปิดแผนที่</v>
      </c>
      <c r="L97" s="3" t="s">
        <v>18</v>
      </c>
    </row>
    <row r="98" spans="1:12" ht="26.4" x14ac:dyDescent="0.3">
      <c r="A98" s="2">
        <v>97</v>
      </c>
      <c r="B98" s="3" t="s">
        <v>368</v>
      </c>
      <c r="C98" s="9" t="s">
        <v>40</v>
      </c>
      <c r="D98" s="3" t="s">
        <v>388</v>
      </c>
      <c r="E98" s="5">
        <v>13.70478</v>
      </c>
      <c r="F98" s="5">
        <v>100.50329000000001</v>
      </c>
      <c r="G98" s="6">
        <v>0.04</v>
      </c>
      <c r="H98" s="3" t="s">
        <v>374</v>
      </c>
      <c r="I98" s="3" t="s">
        <v>190</v>
      </c>
      <c r="J98" s="3" t="s">
        <v>389</v>
      </c>
      <c r="K98" s="7" t="str">
        <f>HYPERLINK("https://www.google.com/maps/search/?api=1&amp;query=After%20You%20Dessert%20Cafe%20-%20Asiatique&amp;query_place_id=ChIJl_bB-6-Z4jARKQxbLdvEpTQ","เปิดแผนที่")</f>
        <v>เปิดแผนที่</v>
      </c>
      <c r="L98" s="3" t="s">
        <v>18</v>
      </c>
    </row>
    <row r="99" spans="1:12" ht="26.4" x14ac:dyDescent="0.3">
      <c r="A99" s="2">
        <v>98</v>
      </c>
      <c r="B99" s="3" t="s">
        <v>368</v>
      </c>
      <c r="C99" s="9" t="s">
        <v>40</v>
      </c>
      <c r="D99" s="3" t="s">
        <v>390</v>
      </c>
      <c r="E99" s="5">
        <v>13.70421</v>
      </c>
      <c r="F99" s="5">
        <v>100.50411</v>
      </c>
      <c r="G99" s="6">
        <v>0.09</v>
      </c>
      <c r="H99" s="3" t="s">
        <v>374</v>
      </c>
      <c r="I99" s="3" t="s">
        <v>391</v>
      </c>
      <c r="J99" s="3" t="s">
        <v>392</v>
      </c>
      <c r="K99" s="7" t="str">
        <f>HYPERLINK("https://www.google.com/maps/search/?api=1&amp;query=Swensen%27s%20Asiatique%20River%20Front&amp;query_place_id=ChIJk-H5AJeY4jARfbqXye_X0u8","เปิดแผนที่")</f>
        <v>เปิดแผนที่</v>
      </c>
      <c r="L99" s="3" t="s">
        <v>18</v>
      </c>
    </row>
    <row r="100" spans="1:12" ht="26.4" x14ac:dyDescent="0.3">
      <c r="A100" s="2">
        <v>99</v>
      </c>
      <c r="B100" s="3" t="s">
        <v>368</v>
      </c>
      <c r="C100" s="9" t="s">
        <v>40</v>
      </c>
      <c r="D100" s="3" t="s">
        <v>393</v>
      </c>
      <c r="E100" s="5">
        <v>13.70463</v>
      </c>
      <c r="F100" s="5">
        <v>100.50355</v>
      </c>
      <c r="G100" s="6">
        <v>0.04</v>
      </c>
      <c r="H100" s="3" t="s">
        <v>374</v>
      </c>
      <c r="I100" s="3" t="s">
        <v>190</v>
      </c>
      <c r="J100" s="3" t="s">
        <v>394</v>
      </c>
      <c r="K100" s="7" t="str">
        <f>HYPERLINK("https://www.google.com/maps/search/?api=1&amp;query=Make%20Me%20Mango%20Asiatique&amp;query_place_id=ChIJJToG_Lae4jARyGfWLIaA7Xs","เปิดแผนที่")</f>
        <v>เปิดแผนที่</v>
      </c>
      <c r="L100" s="3" t="s">
        <v>18</v>
      </c>
    </row>
    <row r="101" spans="1:12" ht="26.4" x14ac:dyDescent="0.3">
      <c r="A101" s="2">
        <v>100</v>
      </c>
      <c r="B101" s="3" t="s">
        <v>395</v>
      </c>
      <c r="C101" s="4" t="s">
        <v>13</v>
      </c>
      <c r="D101" s="3" t="s">
        <v>396</v>
      </c>
      <c r="E101" s="5">
        <v>13.722619999999999</v>
      </c>
      <c r="F101" s="5">
        <v>100.58228</v>
      </c>
      <c r="G101" s="6">
        <v>0.35</v>
      </c>
      <c r="H101" s="3" t="s">
        <v>397</v>
      </c>
      <c r="I101" s="3" t="s">
        <v>265</v>
      </c>
      <c r="J101" s="3" t="s">
        <v>398</v>
      </c>
      <c r="K101" s="7" t="str">
        <f>HYPERLINK("https://www.google.com/maps/search/?api=1&amp;query=The%20Gardens%20of%20Dinsor%20Palace&amp;query_place_id=ChIJ947tbq-f4jARmqxnBY9oxv4","เปิดแผนที่")</f>
        <v>เปิดแผนที่</v>
      </c>
      <c r="L101" s="3" t="s">
        <v>18</v>
      </c>
    </row>
    <row r="102" spans="1:12" ht="26.4" x14ac:dyDescent="0.3">
      <c r="A102" s="2">
        <v>101</v>
      </c>
      <c r="B102" s="3" t="s">
        <v>395</v>
      </c>
      <c r="C102" s="4" t="s">
        <v>13</v>
      </c>
      <c r="D102" s="3" t="s">
        <v>399</v>
      </c>
      <c r="E102" s="5">
        <v>13.71519</v>
      </c>
      <c r="F102" s="5">
        <v>100.58448</v>
      </c>
      <c r="G102" s="6">
        <v>0.52</v>
      </c>
      <c r="H102" s="3" t="s">
        <v>400</v>
      </c>
      <c r="I102" s="3" t="s">
        <v>401</v>
      </c>
      <c r="J102" s="3" t="s">
        <v>402</v>
      </c>
      <c r="K102" s="7" t="str">
        <f>HYPERLINK("https://www.google.com/maps/search/?api=1&amp;query=Pastalicious%2C%20Fresh%20Pasta%20%26%20Steaks&amp;query_place_id=ChIJn5GjYaCf4jARPXfCMkM2LP0","เปิดแผนที่")</f>
        <v>เปิดแผนที่</v>
      </c>
      <c r="L102" s="3" t="s">
        <v>18</v>
      </c>
    </row>
    <row r="103" spans="1:12" ht="26.4" x14ac:dyDescent="0.3">
      <c r="A103" s="2">
        <v>102</v>
      </c>
      <c r="B103" s="3" t="s">
        <v>395</v>
      </c>
      <c r="C103" s="4" t="s">
        <v>13</v>
      </c>
      <c r="D103" s="3" t="s">
        <v>403</v>
      </c>
      <c r="E103" s="5">
        <v>13.71621</v>
      </c>
      <c r="F103" s="5">
        <v>100.58645</v>
      </c>
      <c r="G103" s="6">
        <v>0.54</v>
      </c>
      <c r="H103" s="3" t="s">
        <v>404</v>
      </c>
      <c r="I103" s="3" t="s">
        <v>405</v>
      </c>
      <c r="J103" s="3" t="s">
        <v>406</v>
      </c>
      <c r="K103" s="7" t="str">
        <f>HYPERLINK("https://www.google.com/maps/search/?api=1&amp;query=SOUSAKU%20Sukhumvit%2042&amp;query_place_id=ChIJT7QoxNuf4jAR9_JfRRGfphE","เปิดแผนที่")</f>
        <v>เปิดแผนที่</v>
      </c>
      <c r="L103" s="3" t="s">
        <v>18</v>
      </c>
    </row>
    <row r="104" spans="1:12" ht="26.4" x14ac:dyDescent="0.3">
      <c r="A104" s="2">
        <v>103</v>
      </c>
      <c r="B104" s="3" t="s">
        <v>395</v>
      </c>
      <c r="C104" s="8" t="s">
        <v>27</v>
      </c>
      <c r="D104" s="3" t="s">
        <v>407</v>
      </c>
      <c r="E104" s="5">
        <v>13.72147</v>
      </c>
      <c r="F104" s="5">
        <v>100.58271000000001</v>
      </c>
      <c r="G104" s="6">
        <v>0.21</v>
      </c>
      <c r="H104" s="3" t="s">
        <v>408</v>
      </c>
      <c r="I104" s="3" t="s">
        <v>409</v>
      </c>
      <c r="J104" s="3" t="s">
        <v>410</v>
      </c>
      <c r="K104" s="7" t="str">
        <f>HYPERLINK("https://www.google.com/maps/search/?api=1&amp;query=COS%20Cup%20of%20Sensory%20Cafe&amp;query_place_id=ChIJ10vI9R2f4jARhWtV_3zSYSk","เปิดแผนที่")</f>
        <v>เปิดแผนที่</v>
      </c>
      <c r="L104" s="3" t="s">
        <v>18</v>
      </c>
    </row>
    <row r="105" spans="1:12" ht="26.4" x14ac:dyDescent="0.3">
      <c r="A105" s="2">
        <v>104</v>
      </c>
      <c r="B105" s="3" t="s">
        <v>395</v>
      </c>
      <c r="C105" s="8" t="s">
        <v>27</v>
      </c>
      <c r="D105" s="3" t="s">
        <v>411</v>
      </c>
      <c r="E105" s="5">
        <v>13.71698</v>
      </c>
      <c r="F105" s="5">
        <v>100.58114</v>
      </c>
      <c r="G105" s="6">
        <v>0.34</v>
      </c>
      <c r="H105" s="3" t="s">
        <v>412</v>
      </c>
      <c r="I105" s="3" t="s">
        <v>413</v>
      </c>
      <c r="J105" s="3" t="s">
        <v>414</v>
      </c>
      <c r="K105" s="7" t="str">
        <f>HYPERLINK("https://www.google.com/maps/search/?api=1&amp;query=A%20KEEN%20HOUSE&amp;query_place_id=ChIJS1-3ni6f4jARAS9TqmgpsLM","เปิดแผนที่")</f>
        <v>เปิดแผนที่</v>
      </c>
      <c r="L105" s="3" t="s">
        <v>18</v>
      </c>
    </row>
    <row r="106" spans="1:12" ht="26.4" x14ac:dyDescent="0.3">
      <c r="A106" s="2">
        <v>105</v>
      </c>
      <c r="B106" s="3" t="s">
        <v>395</v>
      </c>
      <c r="C106" s="8" t="s">
        <v>27</v>
      </c>
      <c r="D106" s="3" t="s">
        <v>415</v>
      </c>
      <c r="E106" s="5">
        <v>13.7182</v>
      </c>
      <c r="F106" s="5">
        <v>100.57974</v>
      </c>
      <c r="G106" s="6">
        <v>0.36</v>
      </c>
      <c r="H106" s="3" t="s">
        <v>416</v>
      </c>
      <c r="I106" s="3" t="s">
        <v>320</v>
      </c>
      <c r="J106" s="3" t="s">
        <v>417</v>
      </c>
      <c r="K106" s="7" t="str">
        <f>HYPERLINK("https://www.google.com/maps/search/?api=1&amp;query=Folk%20Lane%20by%20Toby%27s%20Sukhumvit%2038&amp;query_place_id=ChIJ8WhXGqaf4jARcV1ZdA6vAGM","เปิดแผนที่")</f>
        <v>เปิดแผนที่</v>
      </c>
      <c r="L106" s="3" t="s">
        <v>18</v>
      </c>
    </row>
    <row r="107" spans="1:12" ht="26.4" x14ac:dyDescent="0.3">
      <c r="A107" s="2">
        <v>106</v>
      </c>
      <c r="B107" s="3" t="s">
        <v>395</v>
      </c>
      <c r="C107" s="9" t="s">
        <v>40</v>
      </c>
      <c r="D107" s="3" t="s">
        <v>418</v>
      </c>
      <c r="E107" s="5">
        <v>13.72362</v>
      </c>
      <c r="F107" s="5">
        <v>100.57884</v>
      </c>
      <c r="G107" s="6">
        <v>0.62</v>
      </c>
      <c r="H107" s="3" t="s">
        <v>419</v>
      </c>
      <c r="I107" s="3" t="s">
        <v>420</v>
      </c>
      <c r="J107" s="3" t="s">
        <v>421</v>
      </c>
      <c r="K107" s="7" t="e">
        <f>HYPERLINK(_xlfn._LONGTEXT("https://www.google.com/maps/search/?api=1&amp;query=%E0%B8%99%E0%B9%89%E0%B8%AD%E0%B8%87%E0%B9%81%E0%B8%AD%E0%B9%89%E0%B8%A1%20%E0%B8%82%E0%B8%99%E0%B8%A1%E0%B8%AB%E0%B8%A7%E0%B8%B2%E0%B8%99%20%E0%B8%8B%E0%B8%AD%E0%B8%A2%2038&amp;query_place_id=ChIJDSFb56if4jARW_","JZU5zoLR4"),"เปิดแผนที่")</f>
        <v>#VALUE!</v>
      </c>
      <c r="L107" s="3" t="s">
        <v>18</v>
      </c>
    </row>
    <row r="108" spans="1:12" ht="26.4" x14ac:dyDescent="0.3">
      <c r="A108" s="2">
        <v>107</v>
      </c>
      <c r="B108" s="3" t="s">
        <v>395</v>
      </c>
      <c r="C108" s="9" t="s">
        <v>40</v>
      </c>
      <c r="D108" s="3" t="s">
        <v>422</v>
      </c>
      <c r="E108" s="5">
        <v>13.71532</v>
      </c>
      <c r="F108" s="5">
        <v>100.58772</v>
      </c>
      <c r="G108" s="6">
        <v>0.71</v>
      </c>
      <c r="H108" s="3" t="s">
        <v>423</v>
      </c>
      <c r="I108" s="3" t="s">
        <v>424</v>
      </c>
      <c r="J108" s="3" t="s">
        <v>122</v>
      </c>
      <c r="K108" s="7" t="str">
        <f>HYPERLINK("https://www.google.com/maps/search/?api=1&amp;query=Nicolo%20Bakery%20Sukhumvit%2042&amp;query_place_id=ChIJFSm9rMCf4jAR5FJeZ0gFIXQ","เปิดแผนที่")</f>
        <v>เปิดแผนที่</v>
      </c>
      <c r="L108" s="3" t="s">
        <v>18</v>
      </c>
    </row>
    <row r="109" spans="1:12" ht="26.4" x14ac:dyDescent="0.3">
      <c r="A109" s="2">
        <v>108</v>
      </c>
      <c r="B109" s="3" t="s">
        <v>395</v>
      </c>
      <c r="C109" s="9" t="s">
        <v>40</v>
      </c>
      <c r="D109" s="3" t="s">
        <v>425</v>
      </c>
      <c r="E109" s="5">
        <v>13.723269999999999</v>
      </c>
      <c r="F109" s="5">
        <v>100.58422</v>
      </c>
      <c r="G109" s="6">
        <v>0.44</v>
      </c>
      <c r="H109" s="3" t="s">
        <v>426</v>
      </c>
      <c r="I109" s="3" t="s">
        <v>333</v>
      </c>
      <c r="J109" s="3" t="s">
        <v>427</v>
      </c>
      <c r="K109" s="7" t="str">
        <f>HYPERLINK("https://www.google.com/maps/search/?api=1&amp;query=MiKA%20Bakehouse%20%26%20Coffee%20-%20Ekkamai&amp;query_place_id=ChIJG_462byf4jARUl71r_65amw","เปิดแผนที่")</f>
        <v>เปิดแผนที่</v>
      </c>
      <c r="L109" s="3" t="s">
        <v>18</v>
      </c>
    </row>
    <row r="110" spans="1:12" ht="26.4" x14ac:dyDescent="0.3">
      <c r="A110" s="2">
        <v>109</v>
      </c>
      <c r="B110" s="3" t="s">
        <v>428</v>
      </c>
      <c r="C110" s="4" t="s">
        <v>13</v>
      </c>
      <c r="D110" s="3" t="s">
        <v>429</v>
      </c>
      <c r="E110" s="5">
        <v>13.816599999999999</v>
      </c>
      <c r="F110" s="5">
        <v>100.55365999999999</v>
      </c>
      <c r="G110" s="6">
        <v>0.32</v>
      </c>
      <c r="H110" s="3" t="s">
        <v>430</v>
      </c>
      <c r="I110" s="3" t="s">
        <v>172</v>
      </c>
      <c r="J110" s="3" t="s">
        <v>431</v>
      </c>
      <c r="K110" s="7" t="e">
        <f>HYPERLINK(_xlfn._LONGTEXT("https://www.google.com/maps/search/?api=1&amp;query=Krua%20Nai%20Suan%20%28%E0%B8%84%E0%B8%A3%E0%B8%B1%E0%B8%A7%E0%B9%83%E0%B8%99%E0%B8%AA%E0%B8%A7%E0%B8%99%29%20%E0%B8%AA%E0%B8%A7%E0%B8%99%E0%B8%A3%E0%B8%96%E0%B9%84%E0%B8%9F&amp;query_place_id=ChIJV1rnpl2c4jARyP","XKBBAlWlA"),"เปิดแผนที่")</f>
        <v>#VALUE!</v>
      </c>
      <c r="L110" s="3" t="s">
        <v>18</v>
      </c>
    </row>
    <row r="111" spans="1:12" ht="26.4" x14ac:dyDescent="0.3">
      <c r="A111" s="2">
        <v>110</v>
      </c>
      <c r="B111" s="3" t="s">
        <v>428</v>
      </c>
      <c r="C111" s="4" t="s">
        <v>13</v>
      </c>
      <c r="D111" s="3" t="s">
        <v>432</v>
      </c>
      <c r="E111" s="5">
        <v>13.815860000000001</v>
      </c>
      <c r="F111" s="5">
        <v>100.55312000000001</v>
      </c>
      <c r="G111" s="6">
        <v>0.25</v>
      </c>
      <c r="H111" s="3" t="s">
        <v>433</v>
      </c>
      <c r="I111" s="3" t="s">
        <v>434</v>
      </c>
      <c r="J111" s="3" t="s">
        <v>435</v>
      </c>
      <c r="K111" s="7" t="str">
        <f>HYPERLINK("https://www.google.com/maps/search/?api=1&amp;query=Thitaree&amp;query_place_id=ChIJi6lebF2c4jARktKBDI99zQA","เปิดแผนที่")</f>
        <v>เปิดแผนที่</v>
      </c>
      <c r="L111" s="3" t="s">
        <v>18</v>
      </c>
    </row>
    <row r="112" spans="1:12" ht="26.4" x14ac:dyDescent="0.3">
      <c r="A112" s="2">
        <v>111</v>
      </c>
      <c r="B112" s="3" t="s">
        <v>428</v>
      </c>
      <c r="C112" s="4" t="s">
        <v>13</v>
      </c>
      <c r="D112" s="3" t="s">
        <v>436</v>
      </c>
      <c r="E112" s="5">
        <v>13.817080000000001</v>
      </c>
      <c r="F112" s="5">
        <v>100.55493</v>
      </c>
      <c r="G112" s="6">
        <v>0.4</v>
      </c>
      <c r="H112" s="3" t="s">
        <v>437</v>
      </c>
      <c r="I112" s="3" t="s">
        <v>172</v>
      </c>
      <c r="J112" s="3" t="s">
        <v>438</v>
      </c>
      <c r="K112" s="7" t="str">
        <f>HYPERLINK("https://www.google.com/maps/search/?api=1&amp;query=TALES%20ME%20MORE&amp;query_place_id=ChIJP43UUlyc4jAR7vOhOeBngB8","เปิดแผนที่")</f>
        <v>เปิดแผนที่</v>
      </c>
      <c r="L112" s="3" t="s">
        <v>18</v>
      </c>
    </row>
    <row r="113" spans="1:12" ht="26.4" x14ac:dyDescent="0.3">
      <c r="A113" s="2">
        <v>112</v>
      </c>
      <c r="B113" s="3" t="s">
        <v>428</v>
      </c>
      <c r="C113" s="8" t="s">
        <v>27</v>
      </c>
      <c r="D113" s="3" t="s">
        <v>439</v>
      </c>
      <c r="E113" s="5">
        <v>13.8077206</v>
      </c>
      <c r="F113" s="5">
        <v>100.55866</v>
      </c>
      <c r="G113" s="6">
        <v>0.86</v>
      </c>
      <c r="H113" s="3" t="s">
        <v>440</v>
      </c>
      <c r="I113" s="3" t="s">
        <v>441</v>
      </c>
      <c r="J113" s="3" t="s">
        <v>442</v>
      </c>
      <c r="K113" s="7" t="str">
        <f>HYPERLINK("https://www.google.com/maps/search/?api=1&amp;query=HEY%21%20Beanstro%20%28Oasis%29&amp;query_place_id=ChIJS05aNayd4jARo_eN8wMGhjM","เปิดแผนที่")</f>
        <v>เปิดแผนที่</v>
      </c>
      <c r="L113" s="3" t="s">
        <v>18</v>
      </c>
    </row>
    <row r="114" spans="1:12" ht="26.4" x14ac:dyDescent="0.3">
      <c r="A114" s="2">
        <v>113</v>
      </c>
      <c r="B114" s="3" t="s">
        <v>428</v>
      </c>
      <c r="C114" s="8" t="s">
        <v>27</v>
      </c>
      <c r="D114" s="3" t="s">
        <v>443</v>
      </c>
      <c r="E114" s="5">
        <v>13.818956699999999</v>
      </c>
      <c r="F114" s="5">
        <v>100.5622949</v>
      </c>
      <c r="G114" s="6">
        <v>1.1100000000000001</v>
      </c>
      <c r="H114" s="3" t="s">
        <v>444</v>
      </c>
      <c r="I114" s="3" t="s">
        <v>445</v>
      </c>
      <c r="J114" s="3" t="s">
        <v>446</v>
      </c>
      <c r="K114" s="7" t="str">
        <f>HYPERLINK("https://www.google.com/maps/search/?api=1&amp;query=Narisa%20Cafe%20%26%20Creative%20Space&amp;query_place_id=ChIJu9WLOA2d4jARbdmUI1KdnFk","เปิดแผนที่")</f>
        <v>เปิดแผนที่</v>
      </c>
      <c r="L114" s="3" t="s">
        <v>18</v>
      </c>
    </row>
    <row r="115" spans="1:12" ht="26.4" x14ac:dyDescent="0.3">
      <c r="A115" s="2">
        <v>114</v>
      </c>
      <c r="B115" s="3" t="s">
        <v>428</v>
      </c>
      <c r="C115" s="8" t="s">
        <v>27</v>
      </c>
      <c r="D115" s="3" t="s">
        <v>447</v>
      </c>
      <c r="E115" s="5">
        <v>13.801778799999999</v>
      </c>
      <c r="F115" s="5">
        <v>100.55608530000001</v>
      </c>
      <c r="G115" s="6">
        <v>1.35</v>
      </c>
      <c r="H115" s="3" t="s">
        <v>448</v>
      </c>
      <c r="I115" s="3" t="s">
        <v>449</v>
      </c>
      <c r="J115" s="3" t="s">
        <v>450</v>
      </c>
      <c r="K115" s="7" t="str">
        <f>HYPERLINK("https://www.google.com/maps/search/?api=1&amp;query=Daisycafebkk%202nd%20floor%20cafe%20%26%20bake%20house&amp;query_place_id=ChIJv-hmh3Sd4jARWpoYBlCmw3c","เปิดแผนที่")</f>
        <v>เปิดแผนที่</v>
      </c>
      <c r="L115" s="3" t="s">
        <v>18</v>
      </c>
    </row>
    <row r="116" spans="1:12" ht="26.4" x14ac:dyDescent="0.3">
      <c r="A116" s="2">
        <v>115</v>
      </c>
      <c r="B116" s="3" t="s">
        <v>428</v>
      </c>
      <c r="C116" s="9" t="s">
        <v>40</v>
      </c>
      <c r="D116" s="3" t="s">
        <v>451</v>
      </c>
      <c r="E116" s="5">
        <v>13.8122153</v>
      </c>
      <c r="F116" s="5">
        <v>100.5629361</v>
      </c>
      <c r="G116" s="6">
        <v>1.02</v>
      </c>
      <c r="H116" s="3" t="s">
        <v>452</v>
      </c>
      <c r="I116" s="3" t="s">
        <v>453</v>
      </c>
      <c r="J116" s="3" t="s">
        <v>454</v>
      </c>
      <c r="K116" s="7" t="e">
        <f>HYPERLINK(_xlfn._LONGTEXT("https://www.google.com/maps/search/?api=1&amp;query=Krua%20Thip%20Kanom%20Thai%20%28%E0%B8%84%E0%B8%A3%E0%B8%B1%E0%B8%A7%E0%B8%97%E0%B8%B4%E0%B8%9E%E0%B8%A2%E0%B9%8C%E0%B8%82%E0%B8%99%E0%B8%A1%E0%B9%84%E0%B8%97%E0%B8%A2%29&amp;query_place_id=ChIJyz_XXkWc4jARLVTuJ","r2atoM"),"เปิดแผนที่")</f>
        <v>#VALUE!</v>
      </c>
      <c r="L116" s="3" t="s">
        <v>18</v>
      </c>
    </row>
    <row r="117" spans="1:12" ht="26.4" x14ac:dyDescent="0.3">
      <c r="A117" s="2">
        <v>116</v>
      </c>
      <c r="B117" s="3" t="s">
        <v>428</v>
      </c>
      <c r="C117" s="9" t="s">
        <v>40</v>
      </c>
      <c r="D117" s="3" t="s">
        <v>455</v>
      </c>
      <c r="E117" s="5">
        <v>13.816114199999999</v>
      </c>
      <c r="F117" s="5">
        <v>100.56012800000001</v>
      </c>
      <c r="G117" s="6">
        <v>0.75</v>
      </c>
      <c r="H117" s="3" t="s">
        <v>456</v>
      </c>
      <c r="I117" s="3" t="s">
        <v>168</v>
      </c>
      <c r="J117" s="3" t="s">
        <v>457</v>
      </c>
      <c r="K117" s="7" t="e">
        <f>HYPERLINK(_xlfn._LONGTEXT("https://www.google.com/maps/search/?api=1&amp;query=Bowcake%20%E0%B9%82%E0%B8%9A%E0%B8%A7%E0%B9%8C%E0%B9%80%E0%B8%84%E0%B9%89%E0%B8%81%20%E0%B9%80%E0%B8%8B%E0%B9%87%E0%B8%99%E0%B8%97%E0%B8%A3%E0%B8%B1%E0%B8%A5%E0%B8%A5%E0%B8%B2%E0%B8%94%E0%B8%9E%E0%B8%A3%E0%B","9%89%E0%B8%B2%E0%B8%A7&amp;query_place_id=ChIJPQz_AX2d4jART00Xk3W7vHM"),"เปิดแผนที่")</f>
        <v>#VALUE!</v>
      </c>
      <c r="L117" s="3" t="s">
        <v>18</v>
      </c>
    </row>
    <row r="118" spans="1:12" ht="26.4" x14ac:dyDescent="0.3">
      <c r="A118" s="2">
        <v>117</v>
      </c>
      <c r="B118" s="3" t="s">
        <v>428</v>
      </c>
      <c r="C118" s="9" t="s">
        <v>40</v>
      </c>
      <c r="D118" s="3" t="s">
        <v>458</v>
      </c>
      <c r="E118" s="5">
        <v>13.802933400000001</v>
      </c>
      <c r="F118" s="5">
        <v>100.5683169</v>
      </c>
      <c r="G118" s="6">
        <v>1.99</v>
      </c>
      <c r="H118" s="3" t="s">
        <v>459</v>
      </c>
      <c r="I118" s="3" t="s">
        <v>460</v>
      </c>
      <c r="J118" s="3" t="s">
        <v>461</v>
      </c>
      <c r="K118" s="7" t="str">
        <f>HYPERLINK("https://www.google.com/maps/search/?api=1&amp;query=butter%20bakery%20ladprao18&amp;query_place_id=ChIJgxZH79-d4jARdL5BQd0W0eM","เปิดแผนที่")</f>
        <v>เปิดแผนที่</v>
      </c>
      <c r="L118" s="3" t="s">
        <v>18</v>
      </c>
    </row>
    <row r="119" spans="1:12" ht="26.4" x14ac:dyDescent="0.3">
      <c r="A119" s="2">
        <v>118</v>
      </c>
      <c r="B119" s="3" t="s">
        <v>462</v>
      </c>
      <c r="C119" s="4" t="s">
        <v>13</v>
      </c>
      <c r="D119" s="3" t="s">
        <v>463</v>
      </c>
      <c r="E119" s="5">
        <v>13.730779999999999</v>
      </c>
      <c r="F119" s="5">
        <v>100.56112</v>
      </c>
      <c r="G119" s="6">
        <v>0.31</v>
      </c>
      <c r="H119" s="3" t="s">
        <v>464</v>
      </c>
      <c r="I119" s="3" t="s">
        <v>465</v>
      </c>
      <c r="J119" s="3" t="s">
        <v>466</v>
      </c>
      <c r="K119" s="7" t="str">
        <f>HYPERLINK("https://www.google.com/maps/search/?api=1&amp;query=Zaab%20Kak%20Kak&amp;query_place_id=ChIJdyUydBWf4jAR5uHs1qUPVDg","เปิดแผนที่")</f>
        <v>เปิดแผนที่</v>
      </c>
      <c r="L119" s="3" t="s">
        <v>18</v>
      </c>
    </row>
    <row r="120" spans="1:12" ht="26.4" x14ac:dyDescent="0.3">
      <c r="A120" s="2">
        <v>119</v>
      </c>
      <c r="B120" s="3" t="s">
        <v>462</v>
      </c>
      <c r="C120" s="4" t="s">
        <v>13</v>
      </c>
      <c r="D120" s="3" t="s">
        <v>467</v>
      </c>
      <c r="E120" s="5">
        <v>13.72648</v>
      </c>
      <c r="F120" s="5">
        <v>100.56153999999999</v>
      </c>
      <c r="G120" s="6">
        <v>0.43</v>
      </c>
      <c r="H120" s="3" t="s">
        <v>468</v>
      </c>
      <c r="I120" s="3" t="s">
        <v>469</v>
      </c>
      <c r="J120" s="3" t="s">
        <v>470</v>
      </c>
      <c r="K120" s="7" t="str">
        <f>HYPERLINK("https://www.google.com/maps/search/?api=1&amp;query=PEPE%20Bangkok&amp;query_place_id=ChIJIUHmOe2f4jAR2l7P6OOm4hg","เปิดแผนที่")</f>
        <v>เปิดแผนที่</v>
      </c>
      <c r="L120" s="3" t="s">
        <v>18</v>
      </c>
    </row>
    <row r="121" spans="1:12" ht="26.4" x14ac:dyDescent="0.3">
      <c r="A121" s="2">
        <v>120</v>
      </c>
      <c r="B121" s="3" t="s">
        <v>462</v>
      </c>
      <c r="C121" s="4" t="s">
        <v>13</v>
      </c>
      <c r="D121" s="3" t="s">
        <v>471</v>
      </c>
      <c r="E121" s="5">
        <v>13.729050000000001</v>
      </c>
      <c r="F121" s="5">
        <v>100.56520999999999</v>
      </c>
      <c r="G121" s="6">
        <v>0.7</v>
      </c>
      <c r="H121" s="3" t="s">
        <v>472</v>
      </c>
      <c r="I121" s="3" t="s">
        <v>387</v>
      </c>
      <c r="J121" s="3" t="s">
        <v>473</v>
      </c>
      <c r="K121" s="7" t="str">
        <f>HYPERLINK("https://www.google.com/maps/search/?api=1&amp;query=VIVIN%20Suk%2022%20-%20caf%C3%A9%20grocery%20bistro&amp;query_place_id=ChIJeeysUW-f4jARY3X5V-UWCpY","เปิดแผนที่")</f>
        <v>เปิดแผนที่</v>
      </c>
      <c r="L121" s="3" t="s">
        <v>18</v>
      </c>
    </row>
    <row r="122" spans="1:12" ht="26.4" x14ac:dyDescent="0.3">
      <c r="A122" s="2">
        <v>121</v>
      </c>
      <c r="B122" s="3" t="s">
        <v>462</v>
      </c>
      <c r="C122" s="8" t="s">
        <v>27</v>
      </c>
      <c r="D122" s="3" t="s">
        <v>474</v>
      </c>
      <c r="E122" s="5">
        <v>13.72912</v>
      </c>
      <c r="F122" s="5">
        <v>100.56141</v>
      </c>
      <c r="G122" s="6">
        <v>0.28999999999999998</v>
      </c>
      <c r="H122" s="3" t="s">
        <v>475</v>
      </c>
      <c r="I122" s="3" t="s">
        <v>476</v>
      </c>
      <c r="J122" s="3" t="s">
        <v>477</v>
      </c>
      <c r="K122" s="7" t="str">
        <f>HYPERLINK("https://www.google.com/maps/search/?api=1&amp;query=Lazy%20Daisy%20Brunch%20and%20Bar&amp;query_place_id=ChIJoxNMYVef4jARlJwkRLW0B5c","เปิดแผนที่")</f>
        <v>เปิดแผนที่</v>
      </c>
      <c r="L122" s="3" t="s">
        <v>18</v>
      </c>
    </row>
    <row r="123" spans="1:12" ht="26.4" x14ac:dyDescent="0.3">
      <c r="A123" s="2">
        <v>122</v>
      </c>
      <c r="B123" s="3" t="s">
        <v>462</v>
      </c>
      <c r="C123" s="8" t="s">
        <v>27</v>
      </c>
      <c r="D123" s="3" t="s">
        <v>478</v>
      </c>
      <c r="E123" s="5">
        <v>13.729100000000001</v>
      </c>
      <c r="F123" s="5">
        <v>100.56407</v>
      </c>
      <c r="G123" s="6">
        <v>0.57999999999999996</v>
      </c>
      <c r="H123" s="3" t="s">
        <v>479</v>
      </c>
      <c r="I123" s="3" t="s">
        <v>270</v>
      </c>
      <c r="J123" s="3" t="s">
        <v>480</v>
      </c>
      <c r="K123" s="7" t="str">
        <f>HYPERLINK("https://www.google.com/maps/search/?api=1&amp;query=Bru%20Cafe&amp;query_place_id=ChIJ-9u6LsSf4jARbeQtKXGDs0A","เปิดแผนที่")</f>
        <v>เปิดแผนที่</v>
      </c>
      <c r="L123" s="3" t="s">
        <v>18</v>
      </c>
    </row>
    <row r="124" spans="1:12" ht="26.4" x14ac:dyDescent="0.3">
      <c r="A124" s="2">
        <v>123</v>
      </c>
      <c r="B124" s="3" t="s">
        <v>462</v>
      </c>
      <c r="C124" s="8" t="s">
        <v>27</v>
      </c>
      <c r="D124" s="3" t="s">
        <v>481</v>
      </c>
      <c r="E124" s="5">
        <v>13.735530000000001</v>
      </c>
      <c r="F124" s="5">
        <v>100.56077000000001</v>
      </c>
      <c r="G124" s="6">
        <v>0.73</v>
      </c>
      <c r="H124" s="3" t="s">
        <v>482</v>
      </c>
      <c r="I124" s="3" t="s">
        <v>320</v>
      </c>
      <c r="J124" s="3" t="s">
        <v>483</v>
      </c>
      <c r="K124" s="7" t="str">
        <f>HYPERLINK("https://www.google.com/maps/search/?api=1&amp;query=Greydient%20%26%20Them%20-%20coffee%20cafe%20space&amp;query_place_id=ChIJDRLVJwCf4jAR0Ot8NsNbOa8","เปิดแผนที่")</f>
        <v>เปิดแผนที่</v>
      </c>
      <c r="L124" s="3" t="s">
        <v>18</v>
      </c>
    </row>
    <row r="125" spans="1:12" ht="26.4" x14ac:dyDescent="0.3">
      <c r="A125" s="2">
        <v>124</v>
      </c>
      <c r="B125" s="3" t="s">
        <v>462</v>
      </c>
      <c r="C125" s="9" t="s">
        <v>40</v>
      </c>
      <c r="D125" s="3" t="s">
        <v>484</v>
      </c>
      <c r="E125" s="5">
        <v>13.732229999999999</v>
      </c>
      <c r="F125" s="5">
        <v>100.56629</v>
      </c>
      <c r="G125" s="6">
        <v>0.88</v>
      </c>
      <c r="H125" s="3" t="s">
        <v>485</v>
      </c>
      <c r="I125" s="3" t="s">
        <v>359</v>
      </c>
      <c r="J125" s="3" t="s">
        <v>486</v>
      </c>
      <c r="K125" s="7" t="str">
        <f>HYPERLINK("https://www.google.com/maps/search/?api=1&amp;query=Rintaro%20%28Emsphere%20G%29&amp;query_place_id=ChIJTffLINKf4jARnwxAuG6p0lM","เปิดแผนที่")</f>
        <v>เปิดแผนที่</v>
      </c>
      <c r="L125" s="3" t="s">
        <v>18</v>
      </c>
    </row>
    <row r="126" spans="1:12" ht="26.4" x14ac:dyDescent="0.3">
      <c r="A126" s="2">
        <v>125</v>
      </c>
      <c r="B126" s="3" t="s">
        <v>462</v>
      </c>
      <c r="C126" s="9" t="s">
        <v>40</v>
      </c>
      <c r="D126" s="3" t="s">
        <v>487</v>
      </c>
      <c r="E126" s="5">
        <v>13.738239999999999</v>
      </c>
      <c r="F126" s="5">
        <v>100.56071</v>
      </c>
      <c r="G126" s="6">
        <v>1.02</v>
      </c>
      <c r="H126" s="3" t="s">
        <v>488</v>
      </c>
      <c r="I126" s="3" t="s">
        <v>359</v>
      </c>
      <c r="J126" s="3" t="s">
        <v>489</v>
      </c>
      <c r="K126" s="7" t="e">
        <f>HYPERLINK(_xlfn._LONGTEXT("https://www.google.com/maps/search/?api=1&amp;query=%E0%B9%84%E0%B8%AD%E0%B8%95%E0%B8%B4%E0%B8%A1%E0%B8%81%E0%B8%B0%E0%B8%97%E0%B8%B4%20%E0%B9%80%E0%B8%A1%E0%B8%B7%E0%B8%AD%E0%B8%87%E0%B8%81%E0%B8%A3%E0%B8%B8%E0%B8%87%20Mueng%20Krung%20Coconut%20Icecream%20%2","8Terminal%2021%29&amp;query_place_id=ChIJv3VwJXSf4jARP81DD3Ian_8"),"เปิดแผนที่")</f>
        <v>#VALUE!</v>
      </c>
      <c r="L126" s="3" t="s">
        <v>18</v>
      </c>
    </row>
    <row r="127" spans="1:12" ht="26.4" x14ac:dyDescent="0.3">
      <c r="A127" s="2">
        <v>126</v>
      </c>
      <c r="B127" s="3" t="s">
        <v>462</v>
      </c>
      <c r="C127" s="9" t="s">
        <v>40</v>
      </c>
      <c r="D127" s="3" t="s">
        <v>490</v>
      </c>
      <c r="E127" s="5">
        <v>13.73678</v>
      </c>
      <c r="F127" s="5">
        <v>100.57156000000001</v>
      </c>
      <c r="G127" s="6">
        <v>1.62</v>
      </c>
      <c r="H127" s="3" t="s">
        <v>491</v>
      </c>
      <c r="I127" s="3" t="s">
        <v>391</v>
      </c>
      <c r="J127" s="3" t="s">
        <v>492</v>
      </c>
      <c r="K127" s="7" t="str">
        <f>HYPERLINK("https://www.google.com/maps/search/?api=1&amp;query=Gelato%20%26%20Co%20Autentica%20Ricetta%20Italiana&amp;query_place_id=ChIJMZRb-NOf4jARXrQz_rKnSow","เปิดแผนที่")</f>
        <v>เปิดแผนที่</v>
      </c>
      <c r="L127" s="3" t="s">
        <v>18</v>
      </c>
    </row>
    <row r="128" spans="1:12" ht="26.4" x14ac:dyDescent="0.3">
      <c r="A128" s="2">
        <v>127</v>
      </c>
      <c r="B128" s="3" t="s">
        <v>493</v>
      </c>
      <c r="C128" s="4" t="s">
        <v>13</v>
      </c>
      <c r="D128" s="3" t="s">
        <v>494</v>
      </c>
      <c r="E128" s="5">
        <v>13.8005</v>
      </c>
      <c r="F128" s="5">
        <v>100.55179</v>
      </c>
      <c r="G128" s="6">
        <v>0.17</v>
      </c>
      <c r="H128" s="3" t="s">
        <v>495</v>
      </c>
      <c r="I128" s="3" t="s">
        <v>496</v>
      </c>
      <c r="J128" s="3" t="s">
        <v>497</v>
      </c>
      <c r="K128" s="7" t="str">
        <f>HYPERLINK("https://www.google.com/maps/search/?api=1&amp;query=%E0%B8%A7%E0%B8%B1%E0%B8%99%E0%B8%A7%E0%B8%B4%E0%B8%99%20%E0%B8%9A%E0%B8%B0%E0%B8%AB%E0%B8%A1%E0%B8%B5%E0%B9%88%E0%B8%9B%E0%B8%B9%20ONEWIN%20CRAB%20NOODLES&amp;query_place_id=ChIJc_7gsZWd4jARFn4gx5gOp-0","เปิดแผนที่")</f>
        <v>เปิดแผนที่</v>
      </c>
      <c r="L128" s="3" t="s">
        <v>18</v>
      </c>
    </row>
    <row r="129" spans="1:12" ht="26.4" x14ac:dyDescent="0.3">
      <c r="A129" s="2">
        <v>128</v>
      </c>
      <c r="B129" s="3" t="s">
        <v>493</v>
      </c>
      <c r="C129" s="4" t="s">
        <v>13</v>
      </c>
      <c r="D129" s="3" t="s">
        <v>498</v>
      </c>
      <c r="E129" s="5">
        <v>13.79669</v>
      </c>
      <c r="F129" s="5">
        <v>100.54991</v>
      </c>
      <c r="G129" s="6">
        <v>0.35</v>
      </c>
      <c r="H129" s="3" t="s">
        <v>499</v>
      </c>
      <c r="I129" s="3" t="s">
        <v>500</v>
      </c>
      <c r="J129" s="3" t="s">
        <v>501</v>
      </c>
      <c r="K129" s="7" t="e">
        <f>HYPERLINK(_xlfn._LONGTEXT("https://www.google.com/maps/search/?api=1&amp;query=%E0%B8%81%E0%B9%8B%E0%B8%A7%E0%B8%A2%E0%B9%80%E0%B8%95%E0%B8%B5%E0%B9%8B%E0%B8%A2%E0%B8%A7%E0%B8%AB%E0%B8%A1%E0%B8%B9%E0%B8%AA%E0%B8%99%E0%B8%B1%E0%B9%88%E0%B8%99%20%28%E0%B8%AA%E0%B8%B9%E0%B8%95%E0%B8%A3%E0","%B8%9C%E0%B8%B9%E0%B9%89%E0%B8%9E%E0%B8%B1%E0%B8%99%E0%B9%80%E0%B8%9B%E0%B9%89%E0%B8%87%29%20%E0%B8%AB%E0%B8%A5%E0%B8%B1%E0%B8%87%E0%B8%95%E0%B8%A5%E0%B8%B2%E0%B8%94%20%E0%B8%AD.%E0%B8%95.%E0%B8%81.&amp;query_place_id=ChIJyZeU6ZCd4jAR-dFDYsfWLxY"),"เปิดแผนที่")</f>
        <v>#VALUE!</v>
      </c>
      <c r="L129" s="3" t="s">
        <v>18</v>
      </c>
    </row>
    <row r="130" spans="1:12" ht="26.4" x14ac:dyDescent="0.3">
      <c r="A130" s="2">
        <v>129</v>
      </c>
      <c r="B130" s="3" t="s">
        <v>493</v>
      </c>
      <c r="C130" s="4" t="s">
        <v>13</v>
      </c>
      <c r="D130" s="3" t="s">
        <v>502</v>
      </c>
      <c r="E130" s="5">
        <v>13.798450000000001</v>
      </c>
      <c r="F130" s="5">
        <v>100.54685000000001</v>
      </c>
      <c r="G130" s="6">
        <v>0.41</v>
      </c>
      <c r="H130" s="3" t="s">
        <v>503</v>
      </c>
      <c r="I130" s="3" t="s">
        <v>504</v>
      </c>
      <c r="J130" s="3" t="s">
        <v>505</v>
      </c>
      <c r="K130" s="7" t="str">
        <f>HYPERLINK("https://www.google.com/maps/search/?api=1&amp;query=LARDER%20Chatuchak&amp;query_place_id=ChIJPXkelled4jARSc3rqUFfrYI","เปิดแผนที่")</f>
        <v>เปิดแผนที่</v>
      </c>
      <c r="L130" s="3" t="s">
        <v>18</v>
      </c>
    </row>
    <row r="131" spans="1:12" ht="26.4" x14ac:dyDescent="0.3">
      <c r="A131" s="2">
        <v>130</v>
      </c>
      <c r="B131" s="3" t="s">
        <v>493</v>
      </c>
      <c r="C131" s="8" t="s">
        <v>27</v>
      </c>
      <c r="D131" s="3" t="s">
        <v>506</v>
      </c>
      <c r="E131" s="5">
        <v>13.80256</v>
      </c>
      <c r="F131" s="5">
        <v>100.55144</v>
      </c>
      <c r="G131" s="6">
        <v>0.33</v>
      </c>
      <c r="H131" s="3" t="s">
        <v>507</v>
      </c>
      <c r="I131" s="3" t="s">
        <v>508</v>
      </c>
      <c r="J131" s="3" t="s">
        <v>509</v>
      </c>
      <c r="K131" s="7" t="str">
        <f>HYPERLINK("https://www.google.com/maps/search/?api=1&amp;query=Dusha%20Cafe%20%28Chatuchak%20Mixt%29&amp;query_place_id=ChIJtUQkVjKd4jAR2b9jlAmSKdQ","เปิดแผนที่")</f>
        <v>เปิดแผนที่</v>
      </c>
      <c r="L131" s="3" t="s">
        <v>18</v>
      </c>
    </row>
    <row r="132" spans="1:12" ht="26.4" x14ac:dyDescent="0.3">
      <c r="A132" s="2">
        <v>131</v>
      </c>
      <c r="B132" s="3" t="s">
        <v>493</v>
      </c>
      <c r="C132" s="8" t="s">
        <v>27</v>
      </c>
      <c r="D132" s="3" t="s">
        <v>510</v>
      </c>
      <c r="E132" s="5">
        <v>13.7979</v>
      </c>
      <c r="F132" s="5">
        <v>100.54746</v>
      </c>
      <c r="G132" s="6">
        <v>0.38</v>
      </c>
      <c r="H132" s="3" t="s">
        <v>511</v>
      </c>
      <c r="I132" s="3" t="s">
        <v>512</v>
      </c>
      <c r="J132" s="3" t="s">
        <v>513</v>
      </c>
      <c r="K132" s="7" t="str">
        <f>HYPERLINK("https://www.google.com/maps/search/?api=1&amp;query=Caf%C3%A9%20myst%C3%A8re%20%E0%B8%84%E0%B8%B2%E0%B9%80%E0%B8%9F%E0%B9%88%E0%B8%A1%E0%B8%B4%E0%B8%AA%E0%B9%81%E0%B8%95%E0%B8%A3%E0%B9%8C&amp;query_place_id=ChIJxdlKHpOd4jAREYNZpzh9udo","เปิดแผนที่")</f>
        <v>เปิดแผนที่</v>
      </c>
      <c r="L132" s="3" t="s">
        <v>18</v>
      </c>
    </row>
    <row r="133" spans="1:12" ht="26.4" x14ac:dyDescent="0.3">
      <c r="A133" s="2">
        <v>132</v>
      </c>
      <c r="B133" s="3" t="s">
        <v>493</v>
      </c>
      <c r="C133" s="8" t="s">
        <v>27</v>
      </c>
      <c r="D133" s="3" t="s">
        <v>514</v>
      </c>
      <c r="E133" s="5">
        <v>13.797940000000001</v>
      </c>
      <c r="F133" s="5">
        <v>100.54792</v>
      </c>
      <c r="G133" s="6">
        <v>0.34</v>
      </c>
      <c r="H133" s="3" t="s">
        <v>515</v>
      </c>
      <c r="I133" s="3" t="s">
        <v>516</v>
      </c>
      <c r="J133" s="3" t="s">
        <v>122</v>
      </c>
      <c r="K133" s="7" t="str">
        <f>HYPERLINK("https://www.google.com/maps/search/?api=1&amp;query=TRAVELLER%20The%20Coffee%20Shop&amp;query_place_id=ChIJSTyov--d4jARAIj_Zg7hubk","เปิดแผนที่")</f>
        <v>เปิดแผนที่</v>
      </c>
      <c r="L133" s="3" t="s">
        <v>18</v>
      </c>
    </row>
    <row r="134" spans="1:12" ht="26.4" x14ac:dyDescent="0.3">
      <c r="A134" s="2">
        <v>133</v>
      </c>
      <c r="B134" s="3" t="s">
        <v>493</v>
      </c>
      <c r="C134" s="9" t="s">
        <v>40</v>
      </c>
      <c r="D134" s="3" t="s">
        <v>517</v>
      </c>
      <c r="E134" s="5">
        <v>13.7984484</v>
      </c>
      <c r="F134" s="5">
        <v>100.550622</v>
      </c>
      <c r="G134" s="6">
        <v>0.15</v>
      </c>
      <c r="H134" s="3" t="s">
        <v>518</v>
      </c>
      <c r="I134" s="3" t="s">
        <v>519</v>
      </c>
      <c r="J134" s="3" t="s">
        <v>520</v>
      </c>
      <c r="K134" s="7" t="str">
        <f>HYPERLINK("https://www.google.com/maps/search/?api=1&amp;query=Heart%20Rock%20CoConut%20Ice%20cream&amp;query_place_id=ChIJo96cuPOd4jARLtWjUtP1Ec4","เปิดแผนที่")</f>
        <v>เปิดแผนที่</v>
      </c>
      <c r="L134" s="3" t="s">
        <v>18</v>
      </c>
    </row>
    <row r="135" spans="1:12" ht="26.4" x14ac:dyDescent="0.3">
      <c r="A135" s="2">
        <v>134</v>
      </c>
      <c r="B135" s="3" t="s">
        <v>493</v>
      </c>
      <c r="C135" s="9" t="s">
        <v>40</v>
      </c>
      <c r="D135" s="3" t="s">
        <v>521</v>
      </c>
      <c r="E135" s="5">
        <v>13.800789999999999</v>
      </c>
      <c r="F135" s="5">
        <v>100.55186</v>
      </c>
      <c r="G135" s="6">
        <v>0.19</v>
      </c>
      <c r="H135" s="3" t="s">
        <v>495</v>
      </c>
      <c r="I135" s="3" t="s">
        <v>296</v>
      </c>
      <c r="J135" s="3" t="s">
        <v>122</v>
      </c>
      <c r="K135" s="7" t="str">
        <f>HYPERLINK("https://www.google.com/maps/search/?api=1&amp;query=Coconut%20Ice%20Cream%20Chatuchak&amp;query_place_id=ChIJw3rEYBWc4jARovBwcCEAYg8","เปิดแผนที่")</f>
        <v>เปิดแผนที่</v>
      </c>
      <c r="L135" s="3" t="s">
        <v>18</v>
      </c>
    </row>
    <row r="136" spans="1:12" ht="26.4" x14ac:dyDescent="0.3">
      <c r="A136" s="2">
        <v>135</v>
      </c>
      <c r="B136" s="3" t="s">
        <v>493</v>
      </c>
      <c r="C136" s="9" t="s">
        <v>40</v>
      </c>
      <c r="D136" s="3" t="s">
        <v>522</v>
      </c>
      <c r="E136" s="5">
        <v>13.801880000000001</v>
      </c>
      <c r="F136" s="5">
        <v>100.55096</v>
      </c>
      <c r="G136" s="6">
        <v>0.24</v>
      </c>
      <c r="H136" s="3" t="s">
        <v>523</v>
      </c>
      <c r="I136" s="3" t="s">
        <v>327</v>
      </c>
      <c r="J136" s="3" t="s">
        <v>524</v>
      </c>
      <c r="K136" s="7" t="str">
        <f>HYPERLINK("https://www.google.com/maps/search/?api=1&amp;query=Swensen%27s%20Mixt%20Chatuchak&amp;query_place_id=ChIJw4cHbwCd4jARNo-5tj8cDeE","เปิดแผนที่")</f>
        <v>เปิดแผนที่</v>
      </c>
      <c r="L136" s="3" t="s">
        <v>18</v>
      </c>
    </row>
    <row r="137" spans="1:12" ht="26.4" x14ac:dyDescent="0.3">
      <c r="A137" s="2">
        <v>136</v>
      </c>
      <c r="B137" s="3" t="s">
        <v>525</v>
      </c>
      <c r="C137" s="4" t="s">
        <v>13</v>
      </c>
      <c r="D137" s="3" t="s">
        <v>526</v>
      </c>
      <c r="E137" s="5">
        <v>13.746689999999999</v>
      </c>
      <c r="F137" s="5">
        <v>100.53487</v>
      </c>
      <c r="G137" s="6">
        <v>0.06</v>
      </c>
      <c r="H137" s="3" t="s">
        <v>527</v>
      </c>
      <c r="I137" s="3" t="s">
        <v>21</v>
      </c>
      <c r="J137" s="3" t="s">
        <v>528</v>
      </c>
      <c r="K137" s="7" t="str">
        <f>HYPERLINK("https://www.google.com/maps/search/?api=1&amp;query=Kaneko%20Hannosuke%20Siam%20Paragon&amp;query_place_id=ChIJjdP6OTyf4jARimhHXNzD-Nw","เปิดแผนที่")</f>
        <v>เปิดแผนที่</v>
      </c>
      <c r="L137" s="3" t="s">
        <v>18</v>
      </c>
    </row>
    <row r="138" spans="1:12" ht="26.4" x14ac:dyDescent="0.3">
      <c r="A138" s="2">
        <v>137</v>
      </c>
      <c r="B138" s="3" t="s">
        <v>525</v>
      </c>
      <c r="C138" s="4" t="s">
        <v>13</v>
      </c>
      <c r="D138" s="3" t="s">
        <v>529</v>
      </c>
      <c r="E138" s="5">
        <v>13.746370000000001</v>
      </c>
      <c r="F138" s="5">
        <v>100.53447</v>
      </c>
      <c r="G138" s="6">
        <v>0.05</v>
      </c>
      <c r="H138" s="3" t="s">
        <v>527</v>
      </c>
      <c r="I138" s="3" t="s">
        <v>21</v>
      </c>
      <c r="J138" s="3" t="s">
        <v>530</v>
      </c>
      <c r="K138" s="7" t="str">
        <f>HYPERLINK("https://www.google.com/maps/search/?api=1&amp;query=Sot%20Siam%20Paragon%20-%20Korean%20Pot%20Rice&amp;query_place_id=ChIJR8JsZ7Gf4jARsMFdVqqbpSI","เปิดแผนที่")</f>
        <v>เปิดแผนที่</v>
      </c>
      <c r="L138" s="3" t="s">
        <v>18</v>
      </c>
    </row>
    <row r="139" spans="1:12" ht="26.4" x14ac:dyDescent="0.3">
      <c r="A139" s="2">
        <v>138</v>
      </c>
      <c r="B139" s="3" t="s">
        <v>525</v>
      </c>
      <c r="C139" s="4" t="s">
        <v>13</v>
      </c>
      <c r="D139" s="3" t="s">
        <v>531</v>
      </c>
      <c r="E139" s="5">
        <v>13.7463</v>
      </c>
      <c r="F139" s="5">
        <v>100.53502</v>
      </c>
      <c r="G139" s="6">
        <v>0.02</v>
      </c>
      <c r="H139" s="3" t="s">
        <v>527</v>
      </c>
      <c r="I139" s="3" t="s">
        <v>21</v>
      </c>
      <c r="J139" s="3" t="s">
        <v>532</v>
      </c>
      <c r="K139" s="7" t="str">
        <f>HYPERLINK("https://www.google.com/maps/search/?api=1&amp;query=MAGURO%20Kappou%20%E0%B8%AA%E0%B8%B2%E0%B8%82%E0%B8%B2%20Siam%20Paragon&amp;query_place_id=ChIJ-e7PJwCf4jARb2x7TYmSFn0","เปิดแผนที่")</f>
        <v>เปิดแผนที่</v>
      </c>
      <c r="L139" s="3" t="s">
        <v>18</v>
      </c>
    </row>
    <row r="140" spans="1:12" ht="26.4" x14ac:dyDescent="0.3">
      <c r="A140" s="2">
        <v>139</v>
      </c>
      <c r="B140" s="3" t="s">
        <v>525</v>
      </c>
      <c r="C140" s="8" t="s">
        <v>27</v>
      </c>
      <c r="D140" s="3" t="s">
        <v>533</v>
      </c>
      <c r="E140" s="5">
        <v>13.746420000000001</v>
      </c>
      <c r="F140" s="5">
        <v>100.53461</v>
      </c>
      <c r="G140" s="6">
        <v>0.04</v>
      </c>
      <c r="H140" s="3" t="s">
        <v>534</v>
      </c>
      <c r="I140" s="3" t="s">
        <v>21</v>
      </c>
      <c r="J140" s="3" t="s">
        <v>535</v>
      </c>
      <c r="K140" s="7" t="str">
        <f>HYPERLINK("https://www.google.com/maps/search/?api=1&amp;query=Bacha%20Coffee%20Siam%20Paragon&amp;query_place_id=ChIJuSKxXgCf4jAR-_vdS8kcUXA","เปิดแผนที่")</f>
        <v>เปิดแผนที่</v>
      </c>
      <c r="L140" s="3" t="s">
        <v>18</v>
      </c>
    </row>
    <row r="141" spans="1:12" ht="26.4" x14ac:dyDescent="0.3">
      <c r="A141" s="2">
        <v>140</v>
      </c>
      <c r="B141" s="3" t="s">
        <v>525</v>
      </c>
      <c r="C141" s="8" t="s">
        <v>27</v>
      </c>
      <c r="D141" s="3" t="s">
        <v>536</v>
      </c>
      <c r="E141" s="5">
        <v>13.745950000000001</v>
      </c>
      <c r="F141" s="5">
        <v>100.53475</v>
      </c>
      <c r="G141" s="6">
        <v>0.03</v>
      </c>
      <c r="H141" s="3" t="s">
        <v>537</v>
      </c>
      <c r="I141" s="3" t="s">
        <v>21</v>
      </c>
      <c r="J141" s="3" t="s">
        <v>122</v>
      </c>
      <c r="K141" s="7" t="str">
        <f>HYPERLINK("https://www.google.com/maps/search/?api=1&amp;query=The%20Summer%20Coffee%20Siam%20Paragon&amp;query_place_id=ChIJEfw6CQCf4jARFu-A7izcm2w","เปิดแผนที่")</f>
        <v>เปิดแผนที่</v>
      </c>
      <c r="L141" s="3" t="s">
        <v>18</v>
      </c>
    </row>
    <row r="142" spans="1:12" ht="26.4" x14ac:dyDescent="0.3">
      <c r="A142" s="2">
        <v>141</v>
      </c>
      <c r="B142" s="3" t="s">
        <v>525</v>
      </c>
      <c r="C142" s="8" t="s">
        <v>27</v>
      </c>
      <c r="D142" s="3" t="s">
        <v>538</v>
      </c>
      <c r="E142" s="5">
        <v>13.74713</v>
      </c>
      <c r="F142" s="5">
        <v>100.53437</v>
      </c>
      <c r="G142" s="6">
        <v>0.12</v>
      </c>
      <c r="H142" s="3" t="s">
        <v>539</v>
      </c>
      <c r="I142" s="3" t="s">
        <v>540</v>
      </c>
      <c r="J142" s="3" t="s">
        <v>541</v>
      </c>
      <c r="K142" s="7" t="str">
        <f>HYPERLINK("https://www.google.com/maps/search/?api=1&amp;query=Karun%20Thai%20Tea%20Siam%20Paragon&amp;query_place_id=ChIJI9x17Omf4jARDqrBnFQoX5w","เปิดแผนที่")</f>
        <v>เปิดแผนที่</v>
      </c>
      <c r="L142" s="3" t="s">
        <v>18</v>
      </c>
    </row>
    <row r="143" spans="1:12" ht="26.4" x14ac:dyDescent="0.3">
      <c r="A143" s="2">
        <v>142</v>
      </c>
      <c r="B143" s="3" t="s">
        <v>525</v>
      </c>
      <c r="C143" s="9" t="s">
        <v>40</v>
      </c>
      <c r="D143" s="3" t="s">
        <v>542</v>
      </c>
      <c r="E143" s="5">
        <v>13.746740000000001</v>
      </c>
      <c r="F143" s="5">
        <v>100.53503000000001</v>
      </c>
      <c r="G143" s="6">
        <v>7.0000000000000007E-2</v>
      </c>
      <c r="H143" s="3" t="s">
        <v>527</v>
      </c>
      <c r="I143" s="3" t="s">
        <v>138</v>
      </c>
      <c r="J143" s="3" t="s">
        <v>543</v>
      </c>
      <c r="K143" s="7" t="str">
        <f>HYPERLINK("https://www.google.com/maps/search/?api=1&amp;query=Luscious%20Creamery%20Siam%20Paragon&amp;query_place_id=ChIJOTbgFaCf4jAR7kIzCLDVcN8","เปิดแผนที่")</f>
        <v>เปิดแผนที่</v>
      </c>
      <c r="L143" s="3" t="s">
        <v>18</v>
      </c>
    </row>
    <row r="144" spans="1:12" ht="26.4" x14ac:dyDescent="0.3">
      <c r="A144" s="2">
        <v>143</v>
      </c>
      <c r="B144" s="3" t="s">
        <v>525</v>
      </c>
      <c r="C144" s="9" t="s">
        <v>40</v>
      </c>
      <c r="D144" s="3" t="s">
        <v>544</v>
      </c>
      <c r="E144" s="5">
        <v>13.7464914</v>
      </c>
      <c r="F144" s="5">
        <v>100.5345774</v>
      </c>
      <c r="G144" s="6">
        <v>0.05</v>
      </c>
      <c r="H144" s="3" t="s">
        <v>545</v>
      </c>
      <c r="I144" s="3" t="s">
        <v>21</v>
      </c>
      <c r="J144" s="3" t="s">
        <v>546</v>
      </c>
      <c r="K144" s="7" t="e">
        <f>HYPERLINK(_xlfn._LONGTEXT("https://www.google.com/maps/search/?api=1&amp;query=%E0%B8%82%E0%B8%99%E0%B8%A1%E0%B9%84%E0%B8%97%E0%B8%A2%20%E0%B8%AB%E0%B8%A2%E0%B8%81%E0%B8%AA%E0%B8%94%20%E0%B9%83%E0%B8%9A%E0%B9%80%E0%B8%95%E0%B8%A2%E0%B9%81%E0%B8%97%E0%B9%89%20100%25%20-%20Siam%20Paragon","&amp;query_place_id=ChIJUYtlbzyf4jAR7COgQ6vymRE"),"เปิดแผนที่")</f>
        <v>#VALUE!</v>
      </c>
      <c r="L144" s="3" t="s">
        <v>18</v>
      </c>
    </row>
    <row r="145" spans="1:12" ht="26.4" x14ac:dyDescent="0.3">
      <c r="A145" s="2">
        <v>144</v>
      </c>
      <c r="B145" s="3" t="s">
        <v>525</v>
      </c>
      <c r="C145" s="9" t="s">
        <v>40</v>
      </c>
      <c r="D145" s="3" t="s">
        <v>547</v>
      </c>
      <c r="E145" s="5">
        <v>13.747669999999999</v>
      </c>
      <c r="F145" s="5">
        <v>100.53471999999999</v>
      </c>
      <c r="G145" s="6">
        <v>0.17</v>
      </c>
      <c r="H145" s="3" t="s">
        <v>539</v>
      </c>
      <c r="I145" s="3" t="s">
        <v>21</v>
      </c>
      <c r="J145" s="3" t="s">
        <v>548</v>
      </c>
      <c r="K145" s="7" t="str">
        <f>HYPERLINK("https://www.google.com/maps/search/?api=1&amp;query=Pang%20Cha%20Cafe%20Siam%20Paragon&amp;query_place_id=ChIJpcosguSZ4jARk4ksUBZuelo","เปิดแผนที่")</f>
        <v>เปิดแผนที่</v>
      </c>
      <c r="L145" s="3" t="s">
        <v>18</v>
      </c>
    </row>
    <row r="146" spans="1:12" ht="26.4" x14ac:dyDescent="0.3">
      <c r="A146" s="2">
        <v>145</v>
      </c>
      <c r="B146" s="3" t="s">
        <v>549</v>
      </c>
      <c r="C146" s="4" t="s">
        <v>13</v>
      </c>
      <c r="D146" s="3" t="s">
        <v>550</v>
      </c>
      <c r="E146" s="5">
        <v>13.726850000000001</v>
      </c>
      <c r="F146" s="5">
        <v>100.51090000000001</v>
      </c>
      <c r="G146" s="6">
        <v>0.08</v>
      </c>
      <c r="H146" s="3" t="s">
        <v>551</v>
      </c>
      <c r="I146" s="3" t="s">
        <v>405</v>
      </c>
      <c r="J146" s="3" t="s">
        <v>552</v>
      </c>
      <c r="K146" s="7" t="str">
        <f>HYPERLINK("https://www.google.com/maps/search/?api=1&amp;query=KJP%20-%20KHAO%20JAAN%20PROD%20%28ICONSIAM%29&amp;query_place_id=ChIJjzv-dPKZ4jARCp1aouyBpE8","เปิดแผนที่")</f>
        <v>เปิดแผนที่</v>
      </c>
      <c r="L146" s="3" t="s">
        <v>18</v>
      </c>
    </row>
    <row r="147" spans="1:12" ht="26.4" x14ac:dyDescent="0.3">
      <c r="A147" s="2">
        <v>146</v>
      </c>
      <c r="B147" s="3" t="s">
        <v>549</v>
      </c>
      <c r="C147" s="4" t="s">
        <v>13</v>
      </c>
      <c r="D147" s="3" t="s">
        <v>553</v>
      </c>
      <c r="E147" s="5">
        <v>13.726319999999999</v>
      </c>
      <c r="F147" s="5">
        <v>100.51027000000001</v>
      </c>
      <c r="G147" s="6">
        <v>0.02</v>
      </c>
      <c r="H147" s="3" t="s">
        <v>554</v>
      </c>
      <c r="I147" s="3" t="s">
        <v>555</v>
      </c>
      <c r="J147" s="3" t="s">
        <v>556</v>
      </c>
      <c r="K147" s="7" t="str">
        <f>HYPERLINK("https://www.google.com/maps/search/?api=1&amp;query=Bread%20Street%20Kitchen%20%26%20Bar%20-%20ICONSIAM&amp;query_place_id=ChIJf5HPKgCZ4jARFwKPTrMCfsw","เปิดแผนที่")</f>
        <v>เปิดแผนที่</v>
      </c>
      <c r="L147" s="3" t="s">
        <v>18</v>
      </c>
    </row>
    <row r="148" spans="1:12" ht="26.4" x14ac:dyDescent="0.3">
      <c r="A148" s="2">
        <v>147</v>
      </c>
      <c r="B148" s="3" t="s">
        <v>549</v>
      </c>
      <c r="C148" s="4" t="s">
        <v>13</v>
      </c>
      <c r="D148" s="3" t="s">
        <v>557</v>
      </c>
      <c r="E148" s="5">
        <v>13.7264</v>
      </c>
      <c r="F148" s="5">
        <v>100.51054000000001</v>
      </c>
      <c r="G148" s="6">
        <v>0.02</v>
      </c>
      <c r="H148" s="3" t="s">
        <v>558</v>
      </c>
      <c r="I148" s="3" t="s">
        <v>359</v>
      </c>
      <c r="J148" s="3" t="s">
        <v>122</v>
      </c>
      <c r="K148" s="7" t="str">
        <f>HYPERLINK("https://www.google.com/maps/search/?api=1&amp;query=Tonkatsu%20AOKI%20%40ICONSIAM&amp;query_place_id=ChIJnfb7n3-Z4jARskUzQn4aM7w","เปิดแผนที่")</f>
        <v>เปิดแผนที่</v>
      </c>
      <c r="L148" s="3" t="s">
        <v>18</v>
      </c>
    </row>
    <row r="149" spans="1:12" ht="26.4" x14ac:dyDescent="0.3">
      <c r="A149" s="2">
        <v>148</v>
      </c>
      <c r="B149" s="3" t="s">
        <v>549</v>
      </c>
      <c r="C149" s="8" t="s">
        <v>27</v>
      </c>
      <c r="D149" s="3" t="s">
        <v>559</v>
      </c>
      <c r="E149" s="5">
        <v>13.726699999999999</v>
      </c>
      <c r="F149" s="5">
        <v>100.51085999999999</v>
      </c>
      <c r="G149" s="6">
        <v>7.0000000000000007E-2</v>
      </c>
      <c r="H149" s="3" t="s">
        <v>560</v>
      </c>
      <c r="I149" s="3" t="s">
        <v>359</v>
      </c>
      <c r="J149" s="3" t="s">
        <v>561</v>
      </c>
      <c r="K149" s="7" t="str">
        <f>HYPERLINK("https://www.google.com/maps/search/?api=1&amp;query=Bacha%20Coffee%20ICONSIAM&amp;query_place_id=ChIJfQiAmQuZ4jARG4upB3CnuHs","เปิดแผนที่")</f>
        <v>เปิดแผนที่</v>
      </c>
      <c r="L149" s="3" t="s">
        <v>18</v>
      </c>
    </row>
    <row r="150" spans="1:12" ht="26.4" x14ac:dyDescent="0.3">
      <c r="A150" s="2">
        <v>149</v>
      </c>
      <c r="B150" s="3" t="s">
        <v>549</v>
      </c>
      <c r="C150" s="8" t="s">
        <v>27</v>
      </c>
      <c r="D150" s="3" t="s">
        <v>562</v>
      </c>
      <c r="E150" s="5">
        <v>13.72649</v>
      </c>
      <c r="F150" s="5">
        <v>100.51107</v>
      </c>
      <c r="G150" s="6">
        <v>7.0000000000000007E-2</v>
      </c>
      <c r="H150" s="3" t="s">
        <v>563</v>
      </c>
      <c r="I150" s="3" t="s">
        <v>564</v>
      </c>
      <c r="J150" s="3" t="s">
        <v>122</v>
      </c>
      <c r="K150" s="7" t="str">
        <f>HYPERLINK("https://www.google.com/maps/search/?api=1&amp;query=BEANS%20Coffee%20Roaster%20Iconsiam&amp;query_place_id=ChIJr9e7GwCZ4jARW8RMPkC8O_8","เปิดแผนที่")</f>
        <v>เปิดแผนที่</v>
      </c>
      <c r="L150" s="3" t="s">
        <v>18</v>
      </c>
    </row>
    <row r="151" spans="1:12" ht="26.4" x14ac:dyDescent="0.3">
      <c r="A151" s="2">
        <v>150</v>
      </c>
      <c r="B151" s="3" t="s">
        <v>549</v>
      </c>
      <c r="C151" s="8" t="s">
        <v>27</v>
      </c>
      <c r="D151" s="3" t="s">
        <v>565</v>
      </c>
      <c r="E151" s="5">
        <v>13.726039999999999</v>
      </c>
      <c r="F151" s="5">
        <v>100.51105</v>
      </c>
      <c r="G151" s="6">
        <v>7.0000000000000007E-2</v>
      </c>
      <c r="H151" s="3" t="s">
        <v>566</v>
      </c>
      <c r="I151" s="3" t="s">
        <v>359</v>
      </c>
      <c r="J151" s="3" t="s">
        <v>122</v>
      </c>
      <c r="K151" s="7" t="str">
        <f>HYPERLINK("https://www.google.com/maps/search/?api=1&amp;query=SUPER%20MATCHA%2C%20ICONSIAM&amp;query_place_id=ChIJWbSr14OZ4jARWFStrxn_4vk","เปิดแผนที่")</f>
        <v>เปิดแผนที่</v>
      </c>
      <c r="L151" s="3" t="s">
        <v>18</v>
      </c>
    </row>
    <row r="152" spans="1:12" ht="26.4" x14ac:dyDescent="0.3">
      <c r="A152" s="2">
        <v>151</v>
      </c>
      <c r="B152" s="3" t="s">
        <v>549</v>
      </c>
      <c r="C152" s="9" t="s">
        <v>40</v>
      </c>
      <c r="D152" s="3" t="s">
        <v>567</v>
      </c>
      <c r="E152" s="5">
        <v>13.72683</v>
      </c>
      <c r="F152" s="5">
        <v>100.5107</v>
      </c>
      <c r="G152" s="6">
        <v>7.0000000000000007E-2</v>
      </c>
      <c r="H152" s="3" t="s">
        <v>568</v>
      </c>
      <c r="I152" s="3" t="s">
        <v>359</v>
      </c>
      <c r="J152" s="3" t="s">
        <v>569</v>
      </c>
      <c r="K152" s="7" t="str">
        <f>HYPERLINK("https://www.google.com/maps/search/?api=1&amp;query=Pang%20Cha%20%28ICONSIAM%29&amp;query_place_id=ChIJS5fE3mSZ4jARvDuAQM91lJ4","เปิดแผนที่")</f>
        <v>เปิดแผนที่</v>
      </c>
      <c r="L152" s="3" t="s">
        <v>18</v>
      </c>
    </row>
    <row r="153" spans="1:12" ht="26.4" x14ac:dyDescent="0.3">
      <c r="A153" s="2">
        <v>152</v>
      </c>
      <c r="B153" s="3" t="s">
        <v>549</v>
      </c>
      <c r="C153" s="9" t="s">
        <v>40</v>
      </c>
      <c r="D153" s="3" t="s">
        <v>570</v>
      </c>
      <c r="E153" s="5">
        <v>13.72682</v>
      </c>
      <c r="F153" s="5">
        <v>100.51093</v>
      </c>
      <c r="G153" s="6">
        <v>0.08</v>
      </c>
      <c r="H153" s="3" t="s">
        <v>571</v>
      </c>
      <c r="I153" s="3" t="s">
        <v>359</v>
      </c>
      <c r="J153" s="3" t="s">
        <v>572</v>
      </c>
      <c r="K153" s="7" t="str">
        <f>HYPERLINK("https://www.google.com/maps/search/?api=1&amp;query=Blendies%20ICONSIAM&amp;query_place_id=ChIJhw6JOgCZ4jARlH9MIGH7vvc","เปิดแผนที่")</f>
        <v>เปิดแผนที่</v>
      </c>
      <c r="L153" s="3" t="s">
        <v>18</v>
      </c>
    </row>
    <row r="154" spans="1:12" ht="26.4" x14ac:dyDescent="0.3">
      <c r="A154" s="2">
        <v>153</v>
      </c>
      <c r="B154" s="3" t="s">
        <v>549</v>
      </c>
      <c r="C154" s="9" t="s">
        <v>40</v>
      </c>
      <c r="D154" s="3" t="s">
        <v>573</v>
      </c>
      <c r="E154" s="5">
        <v>13.72622</v>
      </c>
      <c r="F154" s="5">
        <v>100.51063000000001</v>
      </c>
      <c r="G154" s="6">
        <v>0.02</v>
      </c>
      <c r="H154" s="3" t="s">
        <v>574</v>
      </c>
      <c r="I154" s="3" t="s">
        <v>359</v>
      </c>
      <c r="J154" s="3" t="s">
        <v>575</v>
      </c>
      <c r="K154" s="7" t="str">
        <f>HYPERLINK("https://www.google.com/maps/search/?api=1&amp;query=Chamin%20Cookies%20%26%20Gelato%20-%20ICONSIAM&amp;query_place_id=ChIJ8UUwugyZ4jARGNjrh6ZjoPo","เปิดแผนที่")</f>
        <v>เปิดแผนที่</v>
      </c>
      <c r="L154" s="3" t="s">
        <v>18</v>
      </c>
    </row>
    <row r="155" spans="1:12" ht="26.4" x14ac:dyDescent="0.3">
      <c r="A155" s="2">
        <v>154</v>
      </c>
      <c r="B155" s="3" t="s">
        <v>576</v>
      </c>
      <c r="C155" s="4" t="s">
        <v>13</v>
      </c>
      <c r="D155" s="3" t="s">
        <v>577</v>
      </c>
      <c r="E155" s="5">
        <v>13.800489799999999</v>
      </c>
      <c r="F155" s="5">
        <v>100.690777</v>
      </c>
      <c r="G155" s="6">
        <v>0.67</v>
      </c>
      <c r="H155" s="3" t="s">
        <v>578</v>
      </c>
      <c r="I155" s="3" t="s">
        <v>579</v>
      </c>
      <c r="J155" s="3" t="s">
        <v>122</v>
      </c>
      <c r="K155" s="7" t="str">
        <f>HYPERLINK("https://www.google.com/maps/search/?api=1&amp;query=%E0%B8%AA%E0%B8%B2%E0%B8%A1%E0%B9%80%E0%B8%A7%E0%B8%A5%E0%B8%B2%20%E0%B8%AA%E0%B8%A7%E0%B8%99%E0%B8%AA%E0%B8%A2%E0%B8%B2%E0%B8%A1%20%E0%B8%8B%E0%B8%AD%E0%B8%A2%2011&amp;query_place_id=ChIJE9uBwv1jHTER8_5buwDwWHs","เปิดแผนที่")</f>
        <v>เปิดแผนที่</v>
      </c>
      <c r="L155" s="3" t="s">
        <v>18</v>
      </c>
    </row>
    <row r="156" spans="1:12" ht="26.4" x14ac:dyDescent="0.3">
      <c r="A156" s="2">
        <v>155</v>
      </c>
      <c r="B156" s="3" t="s">
        <v>576</v>
      </c>
      <c r="C156" s="4" t="s">
        <v>13</v>
      </c>
      <c r="D156" s="3" t="s">
        <v>580</v>
      </c>
      <c r="E156" s="5">
        <v>13.808544899999999</v>
      </c>
      <c r="F156" s="5">
        <v>100.6902939</v>
      </c>
      <c r="G156" s="6">
        <v>0.35</v>
      </c>
      <c r="H156" s="3" t="s">
        <v>581</v>
      </c>
      <c r="I156" s="3" t="s">
        <v>582</v>
      </c>
      <c r="J156" s="3" t="s">
        <v>583</v>
      </c>
      <c r="K156" s="7" t="e">
        <f>HYPERLINK(_xlfn._LONGTEXT("https://www.google.com/maps/search/?api=1&amp;query=%E0%B8%AD%E0%B8%B5%E0%B8%AA%E0%B8%B2%E0%B8%99%E0%B8%9A%E0%B9%89%E0%B8%B2%E0%B8%99%E0%B9%80%E0%B8%AE%E0%B8%B2%20%E0%B8%A3%E0%B9%89%E0%B8%B2%E0%B8%99%E0%B8%A5%E0%B8%B2%E0%B8%9A%E0%B8%AD%E0%B8%B8%E0%B8%9A%E0%B8","%A5%20%E0%B8%95%E0%B8%A5%E0%B8%B2%E0%B8%94%E0%B8%AA%E0%B8%A7%E0%B8%99%E0%B8%AA%E0%B8%A2%E0%B8%B2%E0%B8%A1&amp;query_place_id=ChIJ_-2l4DVjHTERLl5lhoRTCpI"),"เปิดแผนที่")</f>
        <v>#VALUE!</v>
      </c>
      <c r="L156" s="3" t="s">
        <v>18</v>
      </c>
    </row>
    <row r="157" spans="1:12" ht="26.4" x14ac:dyDescent="0.3">
      <c r="A157" s="2">
        <v>156</v>
      </c>
      <c r="B157" s="3" t="s">
        <v>576</v>
      </c>
      <c r="C157" s="4" t="s">
        <v>13</v>
      </c>
      <c r="D157" s="3" t="s">
        <v>584</v>
      </c>
      <c r="E157" s="5">
        <v>13.8023957</v>
      </c>
      <c r="F157" s="5">
        <v>100.690894</v>
      </c>
      <c r="G157" s="6">
        <v>0.47</v>
      </c>
      <c r="H157" s="3" t="s">
        <v>585</v>
      </c>
      <c r="I157" s="3" t="s">
        <v>586</v>
      </c>
      <c r="J157" s="3" t="s">
        <v>587</v>
      </c>
      <c r="K157" s="7" t="str">
        <f>HYPERLINK("https://www.google.com/maps/search/?api=1&amp;query=%E0%B8%82%E0%B9%89%E0%B8%B2%E0%B8%A7%E0%B8%95%E0%B9%89%E0%B8%A1%E0%B8%9A%E0%B8%B2%E0%B8%97%E0%B9%80%E0%B8%94%E0%B8%B5%E0%B8%A2%E0%B8%A7&amp;query_place_id=ChIJHfN-m5ZjHTERV2CZHsShc6Y","เปิดแผนที่")</f>
        <v>เปิดแผนที่</v>
      </c>
      <c r="L157" s="3" t="s">
        <v>18</v>
      </c>
    </row>
    <row r="158" spans="1:12" ht="26.4" x14ac:dyDescent="0.3">
      <c r="A158" s="2">
        <v>157</v>
      </c>
      <c r="B158" s="3" t="s">
        <v>576</v>
      </c>
      <c r="C158" s="8" t="s">
        <v>27</v>
      </c>
      <c r="D158" s="3" t="s">
        <v>588</v>
      </c>
      <c r="E158" s="5">
        <v>13.8005364</v>
      </c>
      <c r="F158" s="5">
        <v>100.6912969</v>
      </c>
      <c r="G158" s="6">
        <v>0.65</v>
      </c>
      <c r="H158" s="3" t="s">
        <v>589</v>
      </c>
      <c r="I158" s="3" t="s">
        <v>590</v>
      </c>
      <c r="J158" s="3" t="s">
        <v>591</v>
      </c>
      <c r="K158" s="7" t="str">
        <f>HYPERLINK("https://www.google.com/maps/search/?api=1&amp;query=deed%20caffe%20-%20Coffee%20%26%20Roaster&amp;query_place_id=ChIJy8gKBF5jHTERXSlLPo9tn-Y","เปิดแผนที่")</f>
        <v>เปิดแผนที่</v>
      </c>
      <c r="L158" s="3" t="s">
        <v>18</v>
      </c>
    </row>
    <row r="159" spans="1:12" ht="26.4" x14ac:dyDescent="0.3">
      <c r="A159" s="2">
        <v>158</v>
      </c>
      <c r="B159" s="3" t="s">
        <v>576</v>
      </c>
      <c r="C159" s="8" t="s">
        <v>27</v>
      </c>
      <c r="D159" s="3" t="s">
        <v>592</v>
      </c>
      <c r="E159" s="5">
        <v>13.806765</v>
      </c>
      <c r="F159" s="5">
        <v>100.6911805</v>
      </c>
      <c r="G159" s="6">
        <v>0.15</v>
      </c>
      <c r="H159" s="3" t="s">
        <v>593</v>
      </c>
      <c r="I159" s="3" t="s">
        <v>594</v>
      </c>
      <c r="J159" s="3" t="s">
        <v>595</v>
      </c>
      <c r="K159" s="7" t="str">
        <f>HYPERLINK("https://www.google.com/maps/search/?api=1&amp;query=Caf%C3%A9%20Amazon%20%E0%B8%AA%E0%B8%B2%E0%B8%82%E0%B8%B2%E0%B8%AA%E0%B8%A7%E0%B8%99%E0%B8%AA%E0%B8%A2%E0%B8%B2%E0%B8%A1%20%28SD3967%29&amp;query_place_id=ChIJ8f9UwMFjHTERh5tg75kjz0w","เปิดแผนที่")</f>
        <v>เปิดแผนที่</v>
      </c>
      <c r="L159" s="3" t="s">
        <v>18</v>
      </c>
    </row>
    <row r="160" spans="1:12" ht="26.4" x14ac:dyDescent="0.3">
      <c r="A160" s="2">
        <v>159</v>
      </c>
      <c r="B160" s="3" t="s">
        <v>576</v>
      </c>
      <c r="C160" s="8" t="s">
        <v>27</v>
      </c>
      <c r="D160" s="3" t="s">
        <v>596</v>
      </c>
      <c r="E160" s="5">
        <v>13.800566099999999</v>
      </c>
      <c r="F160" s="5">
        <v>100.6906183</v>
      </c>
      <c r="G160" s="6">
        <v>0.67</v>
      </c>
      <c r="H160" s="3" t="s">
        <v>597</v>
      </c>
      <c r="I160" s="3" t="s">
        <v>598</v>
      </c>
      <c r="J160" s="3" t="s">
        <v>599</v>
      </c>
      <c r="K160" s="7" t="str">
        <f>HYPERLINK("https://www.google.com/maps/search/?api=1&amp;query=Hob%20%26%20Coff%20cafe%20and%20social%20bar&amp;query_place_id=ChIJ1fzWSZRjHTERuT7w-8AlgJ0","เปิดแผนที่")</f>
        <v>เปิดแผนที่</v>
      </c>
      <c r="L160" s="3" t="s">
        <v>18</v>
      </c>
    </row>
    <row r="161" spans="1:12" ht="26.4" x14ac:dyDescent="0.3">
      <c r="A161" s="2">
        <v>160</v>
      </c>
      <c r="B161" s="3" t="s">
        <v>576</v>
      </c>
      <c r="C161" s="9" t="s">
        <v>40</v>
      </c>
      <c r="D161" s="3" t="s">
        <v>600</v>
      </c>
      <c r="E161" s="5">
        <v>13.808753400000001</v>
      </c>
      <c r="F161" s="5">
        <v>100.6901514</v>
      </c>
      <c r="G161" s="6">
        <v>0.38</v>
      </c>
      <c r="H161" s="3" t="s">
        <v>601</v>
      </c>
      <c r="I161" s="3" t="s">
        <v>602</v>
      </c>
      <c r="J161" s="3" t="s">
        <v>603</v>
      </c>
      <c r="K161" s="7" t="str">
        <f>HYPERLINK("https://www.google.com/maps/search/?api=1&amp;query=TOKYO%20JAMMOM&amp;query_place_id=ChIJpfLDOERE-CkR9hxENA-Jewc","เปิดแผนที่")</f>
        <v>เปิดแผนที่</v>
      </c>
      <c r="L161" s="3" t="s">
        <v>18</v>
      </c>
    </row>
    <row r="162" spans="1:12" ht="26.4" x14ac:dyDescent="0.3">
      <c r="A162" s="2">
        <v>161</v>
      </c>
      <c r="B162" s="3" t="s">
        <v>576</v>
      </c>
      <c r="C162" s="9" t="s">
        <v>40</v>
      </c>
      <c r="D162" s="3" t="s">
        <v>604</v>
      </c>
      <c r="E162" s="5">
        <v>13.8111921</v>
      </c>
      <c r="F162" s="5">
        <v>100.68841500000001</v>
      </c>
      <c r="G162" s="6">
        <v>0.7</v>
      </c>
      <c r="H162" s="3" t="s">
        <v>605</v>
      </c>
      <c r="I162" s="3" t="s">
        <v>606</v>
      </c>
      <c r="J162" s="3" t="s">
        <v>607</v>
      </c>
      <c r="K162" s="7" t="e">
        <f>HYPERLINK(_xlfn._LONGTEXT("https://www.google.com/maps/search/?api=1&amp;query=%E0%B8%99%E0%B8%B8%E0%B9%89%E0%B8%A2%E0%B8%99%E0%B8%A1%E0%B8%AA%E0%B8%94%20%E0%B9%80%E0%B8%84%E0%B8%A3%E0%B8%9B%E0%B9%80%E0%B8%88%E0%B9%8A%E0%B9%80%E0%B8%9E%E0%B8%B4%E0%B9%88%E0%B8%A1&amp;query_place_id=ChIJCw0W","jJhjHTERfWJvwcBDSS0"),"เปิดแผนที่")</f>
        <v>#VALUE!</v>
      </c>
      <c r="L162" s="3" t="s">
        <v>18</v>
      </c>
    </row>
    <row r="163" spans="1:12" ht="26.4" x14ac:dyDescent="0.3">
      <c r="A163" s="2">
        <v>162</v>
      </c>
      <c r="B163" s="3" t="s">
        <v>576</v>
      </c>
      <c r="C163" s="9" t="s">
        <v>40</v>
      </c>
      <c r="D163" s="3" t="s">
        <v>608</v>
      </c>
      <c r="E163" s="5">
        <v>13.8134766</v>
      </c>
      <c r="F163" s="5">
        <v>100.68598369999999</v>
      </c>
      <c r="G163" s="6">
        <v>1.07</v>
      </c>
      <c r="H163" s="3" t="s">
        <v>609</v>
      </c>
      <c r="I163" s="3" t="s">
        <v>610</v>
      </c>
      <c r="J163" s="3" t="s">
        <v>611</v>
      </c>
      <c r="K163" s="7" t="str">
        <f>HYPERLINK("https://www.google.com/maps/search/?api=1&amp;query=%E0%B8%9A%E0%B9%89%E0%B8%B2%E0%B8%99%E0%B8%82%E0%B8%99%E0%B8%A1%E0%B9%84%E0%B8%97%E0%B8%A2%E0%B8%AA%E0%B8%A2%E0%B8%B2%E0%B8%A1&amp;query_place_id=ChIJMecgLgBjHTERoQn0TlQeVkg","เปิดแผนที่")</f>
        <v>เปิดแผนที่</v>
      </c>
      <c r="L163" s="3" t="s">
        <v>18</v>
      </c>
    </row>
    <row r="164" spans="1:12" ht="26.4" x14ac:dyDescent="0.3">
      <c r="A164" s="2">
        <v>163</v>
      </c>
      <c r="B164" s="3" t="s">
        <v>612</v>
      </c>
      <c r="C164" s="4" t="s">
        <v>13</v>
      </c>
      <c r="D164" s="3" t="s">
        <v>613</v>
      </c>
      <c r="E164" s="5">
        <v>13.73972</v>
      </c>
      <c r="F164" s="5">
        <v>100.50014</v>
      </c>
      <c r="G164" s="6">
        <v>0.28000000000000003</v>
      </c>
      <c r="H164" s="3" t="s">
        <v>614</v>
      </c>
      <c r="I164" s="3" t="s">
        <v>378</v>
      </c>
      <c r="J164" s="3" t="s">
        <v>615</v>
      </c>
      <c r="K164" s="7" t="e">
        <f>HYPERLINK(_xlfn._LONGTEXT("https://www.google.com/maps/search/?api=1&amp;query=%E0%B8%A0%E0%B8%B9%20Kitchen%20%E0%B8%AA%E0%B8%A7%E0%B8%99%E0%B8%AD%E0%B8%B2%E0%B8%AB%E0%B8%B2%E0%B8%A3%E0%B8%A3%E0%B8%B4%E0%B8%A1%E0%B9%81%E0%B8%A1%E0%B9%88%E0%B8%99%E0%B9%89%E0%B8%B3%E0%B9%80%E0%B8%88%E0%B","9%89%E0%B8%B2%E0%B8%9E%E0%B8%A3%E0%B8%B0%E0%B8%A2%E0%B8%B2&amp;query_place_id=ChIJKVkAhJiZ4jARNoCJrCQPoIw"),"เปิดแผนที่")</f>
        <v>#VALUE!</v>
      </c>
      <c r="L164" s="3" t="s">
        <v>18</v>
      </c>
    </row>
    <row r="165" spans="1:12" ht="26.4" x14ac:dyDescent="0.3">
      <c r="A165" s="2">
        <v>164</v>
      </c>
      <c r="B165" s="3" t="s">
        <v>612</v>
      </c>
      <c r="C165" s="4" t="s">
        <v>13</v>
      </c>
      <c r="D165" s="3" t="s">
        <v>616</v>
      </c>
      <c r="E165" s="5">
        <v>13.74095</v>
      </c>
      <c r="F165" s="5">
        <v>100.49545999999999</v>
      </c>
      <c r="G165" s="6">
        <v>0.3</v>
      </c>
      <c r="H165" s="3" t="s">
        <v>617</v>
      </c>
      <c r="I165" s="3" t="s">
        <v>618</v>
      </c>
      <c r="J165" s="3" t="s">
        <v>619</v>
      </c>
      <c r="K165" s="7" t="str">
        <f>HYPERLINK("https://www.google.com/maps/search/?api=1&amp;query=NAGIYA%20Yodpiman%20Riverwalk&amp;query_place_id=ChIJXYKPQjuZ4jARL5W1S-jf9-E","เปิดแผนที่")</f>
        <v>เปิดแผนที่</v>
      </c>
      <c r="L165" s="3" t="s">
        <v>18</v>
      </c>
    </row>
    <row r="166" spans="1:12" ht="26.4" x14ac:dyDescent="0.3">
      <c r="A166" s="2">
        <v>165</v>
      </c>
      <c r="B166" s="3" t="s">
        <v>612</v>
      </c>
      <c r="C166" s="4" t="s">
        <v>13</v>
      </c>
      <c r="D166" s="3" t="s">
        <v>620</v>
      </c>
      <c r="E166" s="5">
        <v>13.739699999999999</v>
      </c>
      <c r="F166" s="5">
        <v>100.50014</v>
      </c>
      <c r="G166" s="6">
        <v>0.28000000000000003</v>
      </c>
      <c r="H166" s="3" t="s">
        <v>621</v>
      </c>
      <c r="I166" s="3" t="s">
        <v>622</v>
      </c>
      <c r="J166" s="3" t="s">
        <v>623</v>
      </c>
      <c r="K166" s="7" t="str">
        <f>HYPERLINK("https://www.google.com/maps/search/?api=1&amp;query=BBQ%20RoofTop%20River%20View&amp;query_place_id=ChIJPWb36AyZ4jAR98-qaNJ4giA","เปิดแผนที่")</f>
        <v>เปิดแผนที่</v>
      </c>
      <c r="L166" s="3" t="s">
        <v>18</v>
      </c>
    </row>
    <row r="167" spans="1:12" ht="26.4" x14ac:dyDescent="0.3">
      <c r="A167" s="2">
        <v>166</v>
      </c>
      <c r="B167" s="3" t="s">
        <v>612</v>
      </c>
      <c r="C167" s="8" t="s">
        <v>27</v>
      </c>
      <c r="D167" s="3" t="s">
        <v>624</v>
      </c>
      <c r="E167" s="5">
        <v>13.74457</v>
      </c>
      <c r="F167" s="5">
        <v>100.49726</v>
      </c>
      <c r="G167" s="6">
        <v>0.59</v>
      </c>
      <c r="H167" s="3" t="s">
        <v>625</v>
      </c>
      <c r="I167" s="3" t="s">
        <v>626</v>
      </c>
      <c r="J167" s="3" t="s">
        <v>627</v>
      </c>
      <c r="K167" s="7" t="str">
        <f>HYPERLINK("https://www.google.com/maps/search/?api=1&amp;query=5%20a.m.&amp;query_place_id=ChIJN2VoTo6Z4jARGJKu76SI8dE","เปิดแผนที่")</f>
        <v>เปิดแผนที่</v>
      </c>
      <c r="L167" s="3" t="s">
        <v>18</v>
      </c>
    </row>
    <row r="168" spans="1:12" ht="26.4" x14ac:dyDescent="0.3">
      <c r="A168" s="2">
        <v>167</v>
      </c>
      <c r="B168" s="3" t="s">
        <v>612</v>
      </c>
      <c r="C168" s="8" t="s">
        <v>27</v>
      </c>
      <c r="D168" s="3" t="s">
        <v>628</v>
      </c>
      <c r="E168" s="5">
        <v>13.742290000000001</v>
      </c>
      <c r="F168" s="5">
        <v>100.49670999999999</v>
      </c>
      <c r="G168" s="6">
        <v>0.35</v>
      </c>
      <c r="H168" s="3" t="s">
        <v>629</v>
      </c>
      <c r="I168" s="3" t="s">
        <v>309</v>
      </c>
      <c r="J168" s="3" t="s">
        <v>630</v>
      </c>
      <c r="K168" s="7" t="str">
        <f>HYPERLINK("https://www.google.com/maps/search/?api=1&amp;query=Floral%20Caf%C3%A9%20at%20Napasorn&amp;query_place_id=ChIJr0_8WhuZ4jARkLSG8nhL7n8","เปิดแผนที่")</f>
        <v>เปิดแผนที่</v>
      </c>
      <c r="L168" s="3" t="s">
        <v>18</v>
      </c>
    </row>
    <row r="169" spans="1:12" ht="26.4" x14ac:dyDescent="0.3">
      <c r="A169" s="2">
        <v>168</v>
      </c>
      <c r="B169" s="3" t="s">
        <v>612</v>
      </c>
      <c r="C169" s="8" t="s">
        <v>27</v>
      </c>
      <c r="D169" s="3" t="s">
        <v>631</v>
      </c>
      <c r="E169" s="5">
        <v>13.743589999999999</v>
      </c>
      <c r="F169" s="5">
        <v>100.49617000000001</v>
      </c>
      <c r="G169" s="6">
        <v>0.5</v>
      </c>
      <c r="H169" s="3" t="s">
        <v>632</v>
      </c>
      <c r="I169" s="3" t="s">
        <v>633</v>
      </c>
      <c r="J169" s="3" t="s">
        <v>634</v>
      </c>
      <c r="K169" s="7" t="str">
        <f>HYPERLINK("https://www.google.com/maps/search/?api=1&amp;query=Farm%20to%20Table%2C%20Organic%20Cafe&amp;query_place_id=ChIJQ5mJMxuZ4jARTE2Xh-_eRhU","เปิดแผนที่")</f>
        <v>เปิดแผนที่</v>
      </c>
      <c r="L169" s="3" t="s">
        <v>18</v>
      </c>
    </row>
    <row r="170" spans="1:12" ht="26.4" x14ac:dyDescent="0.3">
      <c r="A170" s="2">
        <v>169</v>
      </c>
      <c r="B170" s="3" t="s">
        <v>612</v>
      </c>
      <c r="C170" s="9" t="s">
        <v>40</v>
      </c>
      <c r="D170" s="3" t="s">
        <v>635</v>
      </c>
      <c r="E170" s="5">
        <v>13.7437</v>
      </c>
      <c r="F170" s="5">
        <v>100.4969</v>
      </c>
      <c r="G170" s="6">
        <v>0.5</v>
      </c>
      <c r="H170" s="3" t="s">
        <v>636</v>
      </c>
      <c r="I170" s="3" t="s">
        <v>633</v>
      </c>
      <c r="J170" s="3" t="s">
        <v>637</v>
      </c>
      <c r="K170" s="7" t="str">
        <f>HYPERLINK("https://www.google.com/maps/search/?api=1&amp;query=FARM%20to%20TABLE%2C%20Hideout&amp;query_place_id=ChIJHS2FAO6Z4jARqhV0fzk_yhI","เปิดแผนที่")</f>
        <v>เปิดแผนที่</v>
      </c>
      <c r="L170" s="3" t="s">
        <v>18</v>
      </c>
    </row>
    <row r="171" spans="1:12" ht="26.4" x14ac:dyDescent="0.3">
      <c r="A171" s="2">
        <v>170</v>
      </c>
      <c r="B171" s="3" t="s">
        <v>612</v>
      </c>
      <c r="C171" s="9" t="s">
        <v>40</v>
      </c>
      <c r="D171" s="3" t="s">
        <v>638</v>
      </c>
      <c r="E171" s="5">
        <v>13.741540000000001</v>
      </c>
      <c r="F171" s="5">
        <v>100.49442999999999</v>
      </c>
      <c r="G171" s="6">
        <v>0.42</v>
      </c>
      <c r="H171" s="3" t="s">
        <v>639</v>
      </c>
      <c r="I171" s="3" t="s">
        <v>640</v>
      </c>
      <c r="J171" s="3" t="s">
        <v>641</v>
      </c>
      <c r="K171" s="7" t="str">
        <f>HYPERLINK("https://www.google.com/maps/search/?api=1&amp;query=Yai%20Thum%20Hai%20Laan%20Kai&amp;query_place_id=ChIJCRFd5AyZ4jAROqVIK-MGKJo","เปิดแผนที่")</f>
        <v>เปิดแผนที่</v>
      </c>
      <c r="L171" s="3" t="s">
        <v>18</v>
      </c>
    </row>
    <row r="172" spans="1:12" ht="26.4" x14ac:dyDescent="0.3">
      <c r="A172" s="2">
        <v>171</v>
      </c>
      <c r="B172" s="3" t="s">
        <v>612</v>
      </c>
      <c r="C172" s="9" t="s">
        <v>40</v>
      </c>
      <c r="D172" s="3" t="s">
        <v>642</v>
      </c>
      <c r="E172" s="5">
        <v>13.7392138</v>
      </c>
      <c r="F172" s="5">
        <v>100.5067042</v>
      </c>
      <c r="G172" s="6">
        <v>0.98</v>
      </c>
      <c r="H172" s="3" t="s">
        <v>643</v>
      </c>
      <c r="I172" s="3" t="s">
        <v>180</v>
      </c>
      <c r="J172" s="3" t="s">
        <v>644</v>
      </c>
      <c r="K172" s="7" t="str">
        <f>HYPERLINK("https://www.google.com/maps/search/?api=1&amp;query=Mi%20Thai%20Dessert&amp;query_place_id=ChIJg4vvVgCZ4jARZMzIP6_hBP0","เปิดแผนที่")</f>
        <v>เปิดแผนที่</v>
      </c>
      <c r="L172" s="3" t="s">
        <v>18</v>
      </c>
    </row>
  </sheetData>
  <autoFilter ref="A1:L172" xr:uid="{00000000-0009-0000-0000-000000000000}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1"/>
  <sheetViews>
    <sheetView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ColWidth="8.6640625" defaultRowHeight="14.4" x14ac:dyDescent="0.3"/>
  <cols>
    <col min="1" max="1" width="7" customWidth="1"/>
    <col min="2" max="2" width="52" customWidth="1"/>
    <col min="3" max="4" width="11" customWidth="1"/>
    <col min="5" max="5" width="12" customWidth="1"/>
    <col min="6" max="7" width="14" customWidth="1"/>
    <col min="8" max="8" width="9" customWidth="1"/>
  </cols>
  <sheetData>
    <row r="1" spans="1:8" x14ac:dyDescent="0.3">
      <c r="A1" s="1" t="s">
        <v>0</v>
      </c>
      <c r="B1" s="1" t="s">
        <v>1</v>
      </c>
      <c r="C1" s="1" t="s">
        <v>4</v>
      </c>
      <c r="D1" s="1" t="s">
        <v>5</v>
      </c>
      <c r="E1" s="1" t="s">
        <v>13</v>
      </c>
      <c r="F1" s="1" t="s">
        <v>27</v>
      </c>
      <c r="G1" s="1" t="s">
        <v>40</v>
      </c>
      <c r="H1" s="1" t="s">
        <v>645</v>
      </c>
    </row>
    <row r="2" spans="1:8" x14ac:dyDescent="0.3">
      <c r="A2" s="10">
        <v>1</v>
      </c>
      <c r="B2" s="11" t="s">
        <v>12</v>
      </c>
      <c r="C2" s="12">
        <v>13.72401</v>
      </c>
      <c r="D2" s="12">
        <v>100.52848</v>
      </c>
      <c r="E2" s="10">
        <f>COUNTIFS(ร้านใกล้แหล่งท่องเที่ยว!$B:$B,$B2,ร้านใกล้แหล่งท่องเที่ยว!$C:$C,E$1)</f>
        <v>3</v>
      </c>
      <c r="F2" s="10">
        <f>COUNTIFS(ร้านใกล้แหล่งท่องเที่ยว!$B:$B,$B2,ร้านใกล้แหล่งท่องเที่ยว!$C:$C,F$1)</f>
        <v>3</v>
      </c>
      <c r="G2" s="10">
        <f>COUNTIFS(ร้านใกล้แหล่งท่องเที่ยว!$B:$B,$B2,ร้านใกล้แหล่งท่องเที่ยว!$C:$C,G$1)</f>
        <v>3</v>
      </c>
      <c r="H2" s="10">
        <f t="shared" ref="H2:H20" si="0">SUM(E2:G2)</f>
        <v>9</v>
      </c>
    </row>
    <row r="3" spans="1:8" x14ac:dyDescent="0.3">
      <c r="A3" s="10">
        <v>2</v>
      </c>
      <c r="B3" s="11" t="s">
        <v>53</v>
      </c>
      <c r="C3" s="12">
        <v>13.7515</v>
      </c>
      <c r="D3" s="12">
        <v>100.4927</v>
      </c>
      <c r="E3" s="10">
        <f>COUNTIFS(ร้านใกล้แหล่งท่องเที่ยว!$B:$B,$B3,ร้านใกล้แหล่งท่องเที่ยว!$C:$C,E$1)</f>
        <v>3</v>
      </c>
      <c r="F3" s="10">
        <f>COUNTIFS(ร้านใกล้แหล่งท่องเที่ยว!$B:$B,$B3,ร้านใกล้แหล่งท่องเที่ยว!$C:$C,F$1)</f>
        <v>3</v>
      </c>
      <c r="G3" s="10">
        <f>COUNTIFS(ร้านใกล้แหล่งท่องเที่ยว!$B:$B,$B3,ร้านใกล้แหล่งท่องเที่ยว!$C:$C,G$1)</f>
        <v>3</v>
      </c>
      <c r="H3" s="10">
        <f t="shared" si="0"/>
        <v>9</v>
      </c>
    </row>
    <row r="4" spans="1:8" x14ac:dyDescent="0.3">
      <c r="A4" s="10">
        <v>3</v>
      </c>
      <c r="B4" s="11" t="s">
        <v>90</v>
      </c>
      <c r="C4" s="12">
        <v>13.746420000000001</v>
      </c>
      <c r="D4" s="12">
        <v>100.49276999999999</v>
      </c>
      <c r="E4" s="10">
        <f>COUNTIFS(ร้านใกล้แหล่งท่องเที่ยว!$B:$B,$B4,ร้านใกล้แหล่งท่องเที่ยว!$C:$C,E$1)</f>
        <v>3</v>
      </c>
      <c r="F4" s="10">
        <f>COUNTIFS(ร้านใกล้แหล่งท่องเที่ยว!$B:$B,$B4,ร้านใกล้แหล่งท่องเที่ยว!$C:$C,F$1)</f>
        <v>3</v>
      </c>
      <c r="G4" s="10">
        <f>COUNTIFS(ร้านใกล้แหล่งท่องเที่ยว!$B:$B,$B4,ร้านใกล้แหล่งท่องเที่ยว!$C:$C,G$1)</f>
        <v>3</v>
      </c>
      <c r="H4" s="10">
        <f t="shared" si="0"/>
        <v>9</v>
      </c>
    </row>
    <row r="5" spans="1:8" x14ac:dyDescent="0.3">
      <c r="A5" s="10">
        <v>4</v>
      </c>
      <c r="B5" s="11" t="s">
        <v>127</v>
      </c>
      <c r="C5" s="12">
        <v>13.743869999999999</v>
      </c>
      <c r="D5" s="12">
        <v>100.48844</v>
      </c>
      <c r="E5" s="10">
        <f>COUNTIFS(ร้านใกล้แหล่งท่องเที่ยว!$B:$B,$B5,ร้านใกล้แหล่งท่องเที่ยว!$C:$C,E$1)</f>
        <v>3</v>
      </c>
      <c r="F5" s="10">
        <f>COUNTIFS(ร้านใกล้แหล่งท่องเที่ยว!$B:$B,$B5,ร้านใกล้แหล่งท่องเที่ยว!$C:$C,F$1)</f>
        <v>3</v>
      </c>
      <c r="G5" s="10">
        <f>COUNTIFS(ร้านใกล้แหล่งท่องเที่ยว!$B:$B,$B5,ร้านใกล้แหล่งท่องเที่ยว!$C:$C,G$1)</f>
        <v>3</v>
      </c>
      <c r="H5" s="10">
        <f t="shared" si="0"/>
        <v>9</v>
      </c>
    </row>
    <row r="6" spans="1:8" x14ac:dyDescent="0.3">
      <c r="A6" s="10">
        <v>5</v>
      </c>
      <c r="B6" s="11" t="s">
        <v>161</v>
      </c>
      <c r="C6" s="12">
        <v>13.721780000000001</v>
      </c>
      <c r="D6" s="12">
        <v>100.47036</v>
      </c>
      <c r="E6" s="10">
        <f>COUNTIFS(ร้านใกล้แหล่งท่องเที่ยว!$B:$B,$B6,ร้านใกล้แหล่งท่องเที่ยว!$C:$C,E$1)</f>
        <v>3</v>
      </c>
      <c r="F6" s="10">
        <f>COUNTIFS(ร้านใกล้แหล่งท่องเที่ยว!$B:$B,$B6,ร้านใกล้แหล่งท่องเที่ยว!$C:$C,F$1)</f>
        <v>3</v>
      </c>
      <c r="G6" s="10">
        <f>COUNTIFS(ร้านใกล้แหล่งท่องเที่ยว!$B:$B,$B6,ร้านใกล้แหล่งท่องเที่ยว!$C:$C,G$1)</f>
        <v>3</v>
      </c>
      <c r="H6" s="10">
        <f t="shared" si="0"/>
        <v>9</v>
      </c>
    </row>
    <row r="7" spans="1:8" x14ac:dyDescent="0.3">
      <c r="A7" s="10">
        <v>6</v>
      </c>
      <c r="B7" s="11" t="s">
        <v>196</v>
      </c>
      <c r="C7" s="12">
        <v>13.7392</v>
      </c>
      <c r="D7" s="12">
        <v>100.5243</v>
      </c>
      <c r="E7" s="10">
        <f>COUNTIFS(ร้านใกล้แหล่งท่องเที่ยว!$B:$B,$B7,ร้านใกล้แหล่งท่องเที่ยว!$C:$C,E$1)</f>
        <v>3</v>
      </c>
      <c r="F7" s="10">
        <f>COUNTIFS(ร้านใกล้แหล่งท่องเที่ยว!$B:$B,$B7,ร้านใกล้แหล่งท่องเที่ยว!$C:$C,F$1)</f>
        <v>3</v>
      </c>
      <c r="G7" s="10">
        <f>COUNTIFS(ร้านใกล้แหล่งท่องเที่ยว!$B:$B,$B7,ร้านใกล้แหล่งท่องเที่ยว!$C:$C,G$1)</f>
        <v>3</v>
      </c>
      <c r="H7" s="10">
        <f t="shared" si="0"/>
        <v>9</v>
      </c>
    </row>
    <row r="8" spans="1:8" x14ac:dyDescent="0.3">
      <c r="A8" s="10">
        <v>7</v>
      </c>
      <c r="B8" s="11" t="s">
        <v>230</v>
      </c>
      <c r="C8" s="12">
        <v>13.739699999999999</v>
      </c>
      <c r="D8" s="12">
        <v>100.5099</v>
      </c>
      <c r="E8" s="10">
        <f>COUNTIFS(ร้านใกล้แหล่งท่องเที่ยว!$B:$B,$B8,ร้านใกล้แหล่งท่องเที่ยว!$C:$C,E$1)</f>
        <v>3</v>
      </c>
      <c r="F8" s="10">
        <f>COUNTIFS(ร้านใกล้แหล่งท่องเที่ยว!$B:$B,$B8,ร้านใกล้แหล่งท่องเที่ยว!$C:$C,F$1)</f>
        <v>3</v>
      </c>
      <c r="G8" s="10">
        <f>COUNTIFS(ร้านใกล้แหล่งท่องเที่ยว!$B:$B,$B8,ร้านใกล้แหล่งท่องเที่ยว!$C:$C,G$1)</f>
        <v>3</v>
      </c>
      <c r="H8" s="10">
        <f t="shared" si="0"/>
        <v>9</v>
      </c>
    </row>
    <row r="9" spans="1:8" ht="26.4" x14ac:dyDescent="0.3">
      <c r="A9" s="10">
        <v>8</v>
      </c>
      <c r="B9" s="11" t="s">
        <v>267</v>
      </c>
      <c r="C9" s="12">
        <v>13.731199999999999</v>
      </c>
      <c r="D9" s="12">
        <v>100.4633</v>
      </c>
      <c r="E9" s="10">
        <f>COUNTIFS(ร้านใกล้แหล่งท่องเที่ยว!$B:$B,$B9,ร้านใกล้แหล่งท่องเที่ยว!$C:$C,E$1)</f>
        <v>3</v>
      </c>
      <c r="F9" s="10">
        <f>COUNTIFS(ร้านใกล้แหล่งท่องเที่ยว!$B:$B,$B9,ร้านใกล้แหล่งท่องเที่ยว!$C:$C,F$1)</f>
        <v>3</v>
      </c>
      <c r="G9" s="10">
        <f>COUNTIFS(ร้านใกล้แหล่งท่องเที่ยว!$B:$B,$B9,ร้านใกล้แหล่งท่องเที่ยว!$C:$C,G$1)</f>
        <v>3</v>
      </c>
      <c r="H9" s="10">
        <f t="shared" si="0"/>
        <v>9</v>
      </c>
    </row>
    <row r="10" spans="1:8" x14ac:dyDescent="0.3">
      <c r="A10" s="10">
        <v>9</v>
      </c>
      <c r="B10" s="11" t="s">
        <v>302</v>
      </c>
      <c r="C10" s="12">
        <v>13.763199999999999</v>
      </c>
      <c r="D10" s="12">
        <v>100.4945</v>
      </c>
      <c r="E10" s="10">
        <f>COUNTIFS(ร้านใกล้แหล่งท่องเที่ยว!$B:$B,$B10,ร้านใกล้แหล่งท่องเที่ยว!$C:$C,E$1)</f>
        <v>3</v>
      </c>
      <c r="F10" s="10">
        <f>COUNTIFS(ร้านใกล้แหล่งท่องเที่ยว!$B:$B,$B10,ร้านใกล้แหล่งท่องเที่ยว!$C:$C,F$1)</f>
        <v>3</v>
      </c>
      <c r="G10" s="10">
        <f>COUNTIFS(ร้านใกล้แหล่งท่องเที่ยว!$B:$B,$B10,ร้านใกล้แหล่งท่องเที่ยว!$C:$C,G$1)</f>
        <v>3</v>
      </c>
      <c r="H10" s="10">
        <f t="shared" si="0"/>
        <v>9</v>
      </c>
    </row>
    <row r="11" spans="1:8" x14ac:dyDescent="0.3">
      <c r="A11" s="10">
        <v>10</v>
      </c>
      <c r="B11" s="11" t="s">
        <v>334</v>
      </c>
      <c r="C11" s="12">
        <v>13.746729999999999</v>
      </c>
      <c r="D11" s="12">
        <v>100.53022</v>
      </c>
      <c r="E11" s="10">
        <f>COUNTIFS(ร้านใกล้แหล่งท่องเที่ยว!$B:$B,$B11,ร้านใกล้แหล่งท่องเที่ยว!$C:$C,E$1)</f>
        <v>3</v>
      </c>
      <c r="F11" s="10">
        <f>COUNTIFS(ร้านใกล้แหล่งท่องเที่ยว!$B:$B,$B11,ร้านใกล้แหล่งท่องเที่ยว!$C:$C,F$1)</f>
        <v>3</v>
      </c>
      <c r="G11" s="10">
        <f>COUNTIFS(ร้านใกล้แหล่งท่องเที่ยว!$B:$B,$B11,ร้านใกล้แหล่งท่องเที่ยว!$C:$C,G$1)</f>
        <v>3</v>
      </c>
      <c r="H11" s="10">
        <f t="shared" si="0"/>
        <v>9</v>
      </c>
    </row>
    <row r="12" spans="1:8" x14ac:dyDescent="0.3">
      <c r="A12" s="10">
        <v>11</v>
      </c>
      <c r="B12" s="11" t="s">
        <v>368</v>
      </c>
      <c r="C12" s="12">
        <v>13.704420000000001</v>
      </c>
      <c r="D12" s="12">
        <v>100.50327</v>
      </c>
      <c r="E12" s="10">
        <f>COUNTIFS(ร้านใกล้แหล่งท่องเที่ยว!$B:$B,$B12,ร้านใกล้แหล่งท่องเที่ยว!$C:$C,E$1)</f>
        <v>3</v>
      </c>
      <c r="F12" s="10">
        <f>COUNTIFS(ร้านใกล้แหล่งท่องเที่ยว!$B:$B,$B12,ร้านใกล้แหล่งท่องเที่ยว!$C:$C,F$1)</f>
        <v>3</v>
      </c>
      <c r="G12" s="10">
        <f>COUNTIFS(ร้านใกล้แหล่งท่องเที่ยว!$B:$B,$B12,ร้านใกล้แหล่งท่องเที่ยว!$C:$C,G$1)</f>
        <v>3</v>
      </c>
      <c r="H12" s="10">
        <f t="shared" si="0"/>
        <v>9</v>
      </c>
    </row>
    <row r="13" spans="1:8" x14ac:dyDescent="0.3">
      <c r="A13" s="10">
        <v>12</v>
      </c>
      <c r="B13" s="11" t="s">
        <v>395</v>
      </c>
      <c r="C13" s="12">
        <v>13.71954</v>
      </c>
      <c r="D13" s="12">
        <v>100.58278</v>
      </c>
      <c r="E13" s="10">
        <f>COUNTIFS(ร้านใกล้แหล่งท่องเที่ยว!$B:$B,$B13,ร้านใกล้แหล่งท่องเที่ยว!$C:$C,E$1)</f>
        <v>3</v>
      </c>
      <c r="F13" s="10">
        <f>COUNTIFS(ร้านใกล้แหล่งท่องเที่ยว!$B:$B,$B13,ร้านใกล้แหล่งท่องเที่ยว!$C:$C,F$1)</f>
        <v>3</v>
      </c>
      <c r="G13" s="10">
        <f>COUNTIFS(ร้านใกล้แหล่งท่องเที่ยว!$B:$B,$B13,ร้านใกล้แหล่งท่องเที่ยว!$C:$C,G$1)</f>
        <v>3</v>
      </c>
      <c r="H13" s="10">
        <f t="shared" si="0"/>
        <v>9</v>
      </c>
    </row>
    <row r="14" spans="1:8" x14ac:dyDescent="0.3">
      <c r="A14" s="10">
        <v>13</v>
      </c>
      <c r="B14" s="11" t="s">
        <v>428</v>
      </c>
      <c r="C14" s="12">
        <v>13.813700000000001</v>
      </c>
      <c r="D14" s="12">
        <v>100.5536</v>
      </c>
      <c r="E14" s="10">
        <f>COUNTIFS(ร้านใกล้แหล่งท่องเที่ยว!$B:$B,$B14,ร้านใกล้แหล่งท่องเที่ยว!$C:$C,E$1)</f>
        <v>3</v>
      </c>
      <c r="F14" s="10">
        <f>COUNTIFS(ร้านใกล้แหล่งท่องเที่ยว!$B:$B,$B14,ร้านใกล้แหล่งท่องเที่ยว!$C:$C,F$1)</f>
        <v>3</v>
      </c>
      <c r="G14" s="10">
        <f>COUNTIFS(ร้านใกล้แหล่งท่องเที่ยว!$B:$B,$B14,ร้านใกล้แหล่งท่องเที่ยว!$C:$C,G$1)</f>
        <v>3</v>
      </c>
      <c r="H14" s="10">
        <f t="shared" si="0"/>
        <v>9</v>
      </c>
    </row>
    <row r="15" spans="1:8" x14ac:dyDescent="0.3">
      <c r="A15" s="10">
        <v>14</v>
      </c>
      <c r="B15" s="11" t="s">
        <v>462</v>
      </c>
      <c r="C15" s="12">
        <v>13.729229999999999</v>
      </c>
      <c r="D15" s="12">
        <v>100.55873</v>
      </c>
      <c r="E15" s="10">
        <f>COUNTIFS(ร้านใกล้แหล่งท่องเที่ยว!$B:$B,$B15,ร้านใกล้แหล่งท่องเที่ยว!$C:$C,E$1)</f>
        <v>3</v>
      </c>
      <c r="F15" s="10">
        <f>COUNTIFS(ร้านใกล้แหล่งท่องเที่ยว!$B:$B,$B15,ร้านใกล้แหล่งท่องเที่ยว!$C:$C,F$1)</f>
        <v>3</v>
      </c>
      <c r="G15" s="10">
        <f>COUNTIFS(ร้านใกล้แหล่งท่องเที่ยว!$B:$B,$B15,ร้านใกล้แหล่งท่องเที่ยว!$C:$C,G$1)</f>
        <v>3</v>
      </c>
      <c r="H15" s="10">
        <f t="shared" si="0"/>
        <v>9</v>
      </c>
    </row>
    <row r="16" spans="1:8" x14ac:dyDescent="0.3">
      <c r="A16" s="10">
        <v>15</v>
      </c>
      <c r="B16" s="11" t="s">
        <v>493</v>
      </c>
      <c r="C16" s="12">
        <v>13.79978</v>
      </c>
      <c r="D16" s="12">
        <v>100.55042</v>
      </c>
      <c r="E16" s="10">
        <f>COUNTIFS(ร้านใกล้แหล่งท่องเที่ยว!$B:$B,$B16,ร้านใกล้แหล่งท่องเที่ยว!$C:$C,E$1)</f>
        <v>3</v>
      </c>
      <c r="F16" s="10">
        <f>COUNTIFS(ร้านใกล้แหล่งท่องเที่ยว!$B:$B,$B16,ร้านใกล้แหล่งท่องเที่ยว!$C:$C,F$1)</f>
        <v>3</v>
      </c>
      <c r="G16" s="10">
        <f>COUNTIFS(ร้านใกล้แหล่งท่องเที่ยว!$B:$B,$B16,ร้านใกล้แหล่งท่องเที่ยว!$C:$C,G$1)</f>
        <v>3</v>
      </c>
      <c r="H16" s="10">
        <f t="shared" si="0"/>
        <v>9</v>
      </c>
    </row>
    <row r="17" spans="1:8" x14ac:dyDescent="0.3">
      <c r="A17" s="10">
        <v>16</v>
      </c>
      <c r="B17" s="11" t="s">
        <v>525</v>
      </c>
      <c r="C17" s="12">
        <v>13.746169999999999</v>
      </c>
      <c r="D17" s="12">
        <v>100.53485999999999</v>
      </c>
      <c r="E17" s="10">
        <f>COUNTIFS(ร้านใกล้แหล่งท่องเที่ยว!$B:$B,$B17,ร้านใกล้แหล่งท่องเที่ยว!$C:$C,E$1)</f>
        <v>3</v>
      </c>
      <c r="F17" s="10">
        <f>COUNTIFS(ร้านใกล้แหล่งท่องเที่ยว!$B:$B,$B17,ร้านใกล้แหล่งท่องเที่ยว!$C:$C,F$1)</f>
        <v>3</v>
      </c>
      <c r="G17" s="10">
        <f>COUNTIFS(ร้านใกล้แหล่งท่องเที่ยว!$B:$B,$B17,ร้านใกล้แหล่งท่องเที่ยว!$C:$C,G$1)</f>
        <v>3</v>
      </c>
      <c r="H17" s="10">
        <f t="shared" si="0"/>
        <v>9</v>
      </c>
    </row>
    <row r="18" spans="1:8" x14ac:dyDescent="0.3">
      <c r="A18" s="10">
        <v>17</v>
      </c>
      <c r="B18" s="11" t="s">
        <v>549</v>
      </c>
      <c r="C18" s="12">
        <v>13.726229999999999</v>
      </c>
      <c r="D18" s="12">
        <v>100.51045000000001</v>
      </c>
      <c r="E18" s="10">
        <f>COUNTIFS(ร้านใกล้แหล่งท่องเที่ยว!$B:$B,$B18,ร้านใกล้แหล่งท่องเที่ยว!$C:$C,E$1)</f>
        <v>3</v>
      </c>
      <c r="F18" s="10">
        <f>COUNTIFS(ร้านใกล้แหล่งท่องเที่ยว!$B:$B,$B18,ร้านใกล้แหล่งท่องเที่ยว!$C:$C,F$1)</f>
        <v>3</v>
      </c>
      <c r="G18" s="10">
        <f>COUNTIFS(ร้านใกล้แหล่งท่องเที่ยว!$B:$B,$B18,ร้านใกล้แหล่งท่องเที่ยว!$C:$C,G$1)</f>
        <v>3</v>
      </c>
      <c r="H18" s="10">
        <f t="shared" si="0"/>
        <v>9</v>
      </c>
    </row>
    <row r="19" spans="1:8" x14ac:dyDescent="0.3">
      <c r="A19" s="10">
        <v>18</v>
      </c>
      <c r="B19" s="11" t="s">
        <v>576</v>
      </c>
      <c r="C19" s="12">
        <v>13.806290000000001</v>
      </c>
      <c r="D19" s="12">
        <v>100.69253</v>
      </c>
      <c r="E19" s="10">
        <f>COUNTIFS(ร้านใกล้แหล่งท่องเที่ยว!$B:$B,$B19,ร้านใกล้แหล่งท่องเที่ยว!$C:$C,E$1)</f>
        <v>3</v>
      </c>
      <c r="F19" s="10">
        <f>COUNTIFS(ร้านใกล้แหล่งท่องเที่ยว!$B:$B,$B19,ร้านใกล้แหล่งท่องเที่ยว!$C:$C,F$1)</f>
        <v>3</v>
      </c>
      <c r="G19" s="10">
        <f>COUNTIFS(ร้านใกล้แหล่งท่องเที่ยว!$B:$B,$B19,ร้านใกล้แหล่งท่องเที่ยว!$C:$C,G$1)</f>
        <v>3</v>
      </c>
      <c r="H19" s="10">
        <f t="shared" si="0"/>
        <v>9</v>
      </c>
    </row>
    <row r="20" spans="1:8" x14ac:dyDescent="0.3">
      <c r="A20" s="10">
        <v>19</v>
      </c>
      <c r="B20" s="11" t="s">
        <v>612</v>
      </c>
      <c r="C20" s="12">
        <v>13.739280000000001</v>
      </c>
      <c r="D20" s="12">
        <v>100.49760000000001</v>
      </c>
      <c r="E20" s="10">
        <f>COUNTIFS(ร้านใกล้แหล่งท่องเที่ยว!$B:$B,$B20,ร้านใกล้แหล่งท่องเที่ยว!$C:$C,E$1)</f>
        <v>3</v>
      </c>
      <c r="F20" s="10">
        <f>COUNTIFS(ร้านใกล้แหล่งท่องเที่ยว!$B:$B,$B20,ร้านใกล้แหล่งท่องเที่ยว!$C:$C,F$1)</f>
        <v>3</v>
      </c>
      <c r="G20" s="10">
        <f>COUNTIFS(ร้านใกล้แหล่งท่องเที่ยว!$B:$B,$B20,ร้านใกล้แหล่งท่องเที่ยว!$C:$C,G$1)</f>
        <v>3</v>
      </c>
      <c r="H20" s="10">
        <f t="shared" si="0"/>
        <v>9</v>
      </c>
    </row>
    <row r="21" spans="1:8" x14ac:dyDescent="0.3">
      <c r="A21" s="13"/>
      <c r="B21" s="14" t="s">
        <v>646</v>
      </c>
      <c r="C21" s="15"/>
      <c r="D21" s="15"/>
      <c r="E21" s="13">
        <f>SUM(E2:E20)</f>
        <v>57</v>
      </c>
      <c r="F21" s="13">
        <f>SUM(F2:F20)</f>
        <v>57</v>
      </c>
      <c r="G21" s="13">
        <f>SUM(G2:G20)</f>
        <v>57</v>
      </c>
      <c r="H21" s="13">
        <f>SUM(H2:H20)</f>
        <v>171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1"/>
  <sheetViews>
    <sheetView zoomScaleNormal="100" workbookViewId="0"/>
  </sheetViews>
  <sheetFormatPr defaultColWidth="8.6640625" defaultRowHeight="14.4" x14ac:dyDescent="0.3"/>
  <cols>
    <col min="1" max="1" width="28" customWidth="1"/>
    <col min="2" max="2" width="110" customWidth="1"/>
  </cols>
  <sheetData>
    <row r="1" spans="1:2" x14ac:dyDescent="0.3">
      <c r="A1" s="16" t="s">
        <v>647</v>
      </c>
      <c r="B1" s="16" t="s">
        <v>648</v>
      </c>
    </row>
    <row r="2" spans="1:2" x14ac:dyDescent="0.3">
      <c r="A2" s="17" t="s">
        <v>649</v>
      </c>
      <c r="B2" s="3" t="s">
        <v>650</v>
      </c>
    </row>
    <row r="3" spans="1:2" ht="26.4" x14ac:dyDescent="0.3">
      <c r="A3" s="17" t="s">
        <v>651</v>
      </c>
      <c r="B3" s="3" t="s">
        <v>652</v>
      </c>
    </row>
    <row r="4" spans="1:2" ht="26.4" x14ac:dyDescent="0.3">
      <c r="A4" s="17" t="s">
        <v>653</v>
      </c>
      <c r="B4" s="3" t="s">
        <v>654</v>
      </c>
    </row>
    <row r="5" spans="1:2" x14ac:dyDescent="0.3">
      <c r="A5" s="17" t="s">
        <v>655</v>
      </c>
      <c r="B5" s="3" t="s">
        <v>656</v>
      </c>
    </row>
    <row r="6" spans="1:2" x14ac:dyDescent="0.3">
      <c r="A6" s="17" t="s">
        <v>657</v>
      </c>
      <c r="B6" s="3" t="s">
        <v>658</v>
      </c>
    </row>
    <row r="7" spans="1:2" x14ac:dyDescent="0.3">
      <c r="A7" s="17" t="s">
        <v>659</v>
      </c>
      <c r="B7" s="3" t="s">
        <v>660</v>
      </c>
    </row>
    <row r="8" spans="1:2" ht="26.4" x14ac:dyDescent="0.3">
      <c r="A8" s="17" t="s">
        <v>661</v>
      </c>
      <c r="B8" s="3" t="s">
        <v>662</v>
      </c>
    </row>
    <row r="9" spans="1:2" x14ac:dyDescent="0.3">
      <c r="A9" s="17" t="s">
        <v>663</v>
      </c>
      <c r="B9" s="3" t="s">
        <v>664</v>
      </c>
    </row>
    <row r="10" spans="1:2" x14ac:dyDescent="0.3">
      <c r="A10" s="17" t="s">
        <v>230</v>
      </c>
      <c r="B10" s="3" t="s">
        <v>665</v>
      </c>
    </row>
    <row r="11" spans="1:2" x14ac:dyDescent="0.3">
      <c r="A11" s="17" t="s">
        <v>666</v>
      </c>
      <c r="B11" s="3" t="s">
        <v>667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3</vt:i4>
      </vt:variant>
    </vt:vector>
  </HeadingPairs>
  <TitlesOfParts>
    <vt:vector size="3" baseType="lpstr">
      <vt:lpstr>ร้านใกล้แหล่งท่องเที่ยว</vt:lpstr>
      <vt:lpstr>แหล่งท่องเที่ยว</vt:lpstr>
      <vt:lpstr>หมายเหตุ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Nirapada Khattiya</cp:lastModifiedBy>
  <cp:revision>0</cp:revision>
  <dcterms:created xsi:type="dcterms:W3CDTF">2026-10-03T15:13:38Z</dcterms:created>
  <dcterms:modified xsi:type="dcterms:W3CDTF">2026-10-03T15:19:09Z</dcterms:modified>
  <cp:category/>
  <cp:contentStatus/>
</cp:coreProperties>
</file>